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Actividades" sheetId="2" state="visible" r:id="rId4"/>
    <sheet name="Contactos" sheetId="3" state="visible" r:id="rId5"/>
  </sheets>
  <definedNames>
    <definedName function="false" hidden="false" localSheetId="1" name="_xlnm.Print_Titles" vbProcedure="false">Actividades!$4:$4</definedName>
    <definedName function="false" hidden="true" localSheetId="1" name="_xlnm._FilterDatabase" vbProcedure="false">Actividades!$A$4:$N$104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Días que faltan hasta la fecha límite (calculado). Negativo = vencida.</t>
        </r>
      </text>
    </comment>
    <comment ref="H4" authorId="0">
      <text>
        <r>
          <rPr>
            <sz val="10"/>
            <rFont val="Arial"/>
            <family val="2"/>
          </rPr>
          <t xml:space="preserve">Se rellena automáticamente desde la hoja Contactos.</t>
        </r>
      </text>
    </comment>
  </commentList>
</comments>
</file>

<file path=xl/sharedStrings.xml><?xml version="1.0" encoding="utf-8"?>
<sst xmlns="http://schemas.openxmlformats.org/spreadsheetml/2006/main" count="93" uniqueCount="80">
  <si>
    <t xml:space="preserve">Planificador de Actividades del Evento</t>
  </si>
  <si>
    <t xml:space="preserve">Cómo usar este archivo</t>
  </si>
  <si>
    <t xml:space="preserve">Hoja «Actividades»</t>
  </si>
  <si>
    <t xml:space="preserve">Una fila por actividad. Rellena las celdas con fondo crema; las columnas grises se calculan solas.</t>
  </si>
  <si>
    <t xml:space="preserve">Hoja «Contactos»</t>
  </si>
  <si>
    <t xml:space="preserve">Directorio de responsables y personas de contacto (nombre, rol, teléfono, email). Los nombres aparecen como lista desplegable en Actividades.</t>
  </si>
  <si>
    <t xml:space="preserve">Fecha límite</t>
  </si>
  <si>
    <t xml:space="preserve">Día máximo para dejar la actividad lista/preparada (formato dd/mm/aaaa).</t>
  </si>
  <si>
    <t xml:space="preserve">Fecha / Hora de realización</t>
  </si>
  <si>
    <t xml:space="preserve">Cuándo se ejecuta la actividad durante el evento (fecha dd/mm/aaaa, hora hh:mm).</t>
  </si>
  <si>
    <t xml:space="preserve">Contactar con</t>
  </si>
  <si>
    <t xml:space="preserve">Persona con quien hay que coordinar o cuadrar la actividad. Su teléfono y email se rellenan solos desde «Contactos».</t>
  </si>
  <si>
    <t xml:space="preserve">Estado</t>
  </si>
  <si>
    <t xml:space="preserve">Pendiente · En proceso · Completada · Cancelada (lista desplegable).</t>
  </si>
  <si>
    <t xml:space="preserve">Días restantes</t>
  </si>
  <si>
    <t xml:space="preserve">Calculado: días que faltan hasta la fecha límite. Negativo = vencida.</t>
  </si>
  <si>
    <t xml:space="preserve">Colores automáticos</t>
  </si>
  <si>
    <t xml:space="preserve">Rojo = fecha límite vencida y no completada · Amarillo = vence en 3 días o menos · Verde = completada.</t>
  </si>
  <si>
    <t xml:space="preserve">Filas de ejemplo</t>
  </si>
  <si>
    <t xml:space="preserve">Las filas incluidas son solo ejemplos del formato esperado: sobrescríbelas o bórralas.</t>
  </si>
  <si>
    <t xml:space="preserve">Leyenda</t>
  </si>
  <si>
    <t xml:space="preserve">Celda para rellenar</t>
  </si>
  <si>
    <t xml:space="preserve">Celda calculada (no editar)</t>
  </si>
  <si>
    <t xml:space="preserve">Fecha límite vencida</t>
  </si>
  <si>
    <t xml:space="preserve">Vence en ≤ 3 días</t>
  </si>
  <si>
    <t xml:space="preserve">Completada</t>
  </si>
  <si>
    <t xml:space="preserve">Planificación de Actividades del Evento</t>
  </si>
  <si>
    <t xml:space="preserve">Evento:</t>
  </si>
  <si>
    <t xml:space="preserve">(escribe aquí el nombre del evento)</t>
  </si>
  <si>
    <t xml:space="preserve">Fecha del evento:</t>
  </si>
  <si>
    <t xml:space="preserve">(dd/mm/aaaa)</t>
  </si>
  <si>
    <t xml:space="preserve">Hoy:</t>
  </si>
  <si>
    <t xml:space="preserve">Pendientes:</t>
  </si>
  <si>
    <t xml:space="preserve">Vencidas:</t>
  </si>
  <si>
    <t xml:space="preserve">N°</t>
  </si>
  <si>
    <t xml:space="preserve">Actividad</t>
  </si>
  <si>
    <t xml:space="preserve">Descripción / Detalles</t>
  </si>
  <si>
    <t xml:space="preserve">Responsable</t>
  </si>
  <si>
    <t xml:space="preserve">Contactar con (para cuadrar)</t>
  </si>
  <si>
    <t xml:space="preserve">Teléfono contacto</t>
  </si>
  <si>
    <t xml:space="preserve">Email contacto</t>
  </si>
  <si>
    <t xml:space="preserve">Fecha de realización</t>
  </si>
  <si>
    <t xml:space="preserve">Hora de realización</t>
  </si>
  <si>
    <t xml:space="preserve">Lugar</t>
  </si>
  <si>
    <t xml:space="preserve">Observaciones</t>
  </si>
  <si>
    <t xml:space="preserve">Reservar el salón</t>
  </si>
  <si>
    <t xml:space="preserve">Confirmar reserva y pagar señal</t>
  </si>
  <si>
    <t xml:space="preserve">Laura Gómez</t>
  </si>
  <si>
    <t xml:space="preserve">Carlos Pérez</t>
  </si>
  <si>
    <t xml:space="preserve">Salón principal</t>
  </si>
  <si>
    <t xml:space="preserve">En proceso</t>
  </si>
  <si>
    <t xml:space="preserve">Contratar catering</t>
  </si>
  <si>
    <t xml:space="preserve">Menú para 120 personas, incluir opción vegetariana</t>
  </si>
  <si>
    <t xml:space="preserve">Marta Ruiz</t>
  </si>
  <si>
    <t xml:space="preserve">Comedor</t>
  </si>
  <si>
    <t xml:space="preserve">Pendiente</t>
  </si>
  <si>
    <t xml:space="preserve">Pedir 3 presupuestos</t>
  </si>
  <si>
    <t xml:space="preserve">Prueba de sonido</t>
  </si>
  <si>
    <t xml:space="preserve">Micrófonos, proyector y música de fondo</t>
  </si>
  <si>
    <t xml:space="preserve">Andrés López</t>
  </si>
  <si>
    <t xml:space="preserve">Escenario</t>
  </si>
  <si>
    <t xml:space="preserve">Directorio de Responsables y Contactos</t>
  </si>
  <si>
    <t xml:space="preserve">Nombre</t>
  </si>
  <si>
    <t xml:space="preserve">Rol / Área</t>
  </si>
  <si>
    <t xml:space="preserve">Teléfono</t>
  </si>
  <si>
    <t xml:space="preserve">Email</t>
  </si>
  <si>
    <t xml:space="preserve">Notas</t>
  </si>
  <si>
    <t xml:space="preserve">Coordinación general</t>
  </si>
  <si>
    <t xml:space="preserve">600 111 222</t>
  </si>
  <si>
    <t xml:space="preserve">laura.gomez@ejemplo.com</t>
  </si>
  <si>
    <t xml:space="preserve">Ejemplo</t>
  </si>
  <si>
    <t xml:space="preserve">Logística</t>
  </si>
  <si>
    <t xml:space="preserve">600 333 444</t>
  </si>
  <si>
    <t xml:space="preserve">carlos.perez@ejemplo.com</t>
  </si>
  <si>
    <t xml:space="preserve">Catering (proveedor)</t>
  </si>
  <si>
    <t xml:space="preserve">600 555 666</t>
  </si>
  <si>
    <t xml:space="preserve">marta.ruiz@ejemplo.com</t>
  </si>
  <si>
    <t xml:space="preserve">Audio y sonido</t>
  </si>
  <si>
    <t xml:space="preserve">600 777 888</t>
  </si>
  <si>
    <t xml:space="preserve">andres.lopez@ejemplo.com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</si>
</sst>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;[RED]\-0;0"/>
    <numFmt numFmtId="168" formatCode="hh: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4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9E6"/>
        <bgColor rgb="FFFFFFFF"/>
      </patternFill>
    </fill>
    <fill>
      <patternFill patternType="solid">
        <fgColor rgb="FFEDEDED"/>
        <bgColor rgb="FFDCE6F1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FCE"/>
        <bgColor rgb="FFDCE6F1"/>
      </patternFill>
    </fill>
    <fill>
      <patternFill patternType="solid">
        <fgColor rgb="FFDCE6F1"/>
        <bgColor rgb="FFEDEDED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>
          <bgColor rgb="FFC6EFCE"/>
        </patternFill>
      </fill>
    </dxf>
    <dxf>
      <font>
        <strike val="1"/>
        <color rgb="FF808080"/>
      </font>
    </dxf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8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4" t="s">
        <v>3</v>
      </c>
    </row>
    <row r="6" customFormat="false" ht="30" hidden="false" customHeight="true" outlineLevel="0" collapsed="false">
      <c r="B6" s="3" t="s">
        <v>4</v>
      </c>
      <c r="C6" s="4" t="s">
        <v>5</v>
      </c>
    </row>
    <row r="7" customFormat="false" ht="30" hidden="false" customHeight="true" outlineLevel="0" collapsed="false">
      <c r="B7" s="3" t="s">
        <v>6</v>
      </c>
      <c r="C7" s="4" t="s">
        <v>7</v>
      </c>
    </row>
    <row r="8" customFormat="false" ht="30" hidden="false" customHeight="true" outlineLevel="0" collapsed="false">
      <c r="B8" s="3" t="s">
        <v>8</v>
      </c>
      <c r="C8" s="4" t="s">
        <v>9</v>
      </c>
    </row>
    <row r="9" customFormat="false" ht="30" hidden="false" customHeight="true" outlineLevel="0" collapsed="false">
      <c r="B9" s="3" t="s">
        <v>10</v>
      </c>
      <c r="C9" s="4" t="s">
        <v>11</v>
      </c>
    </row>
    <row r="10" customFormat="false" ht="30" hidden="false" customHeight="true" outlineLevel="0" collapsed="false">
      <c r="B10" s="3" t="s">
        <v>12</v>
      </c>
      <c r="C10" s="4" t="s">
        <v>13</v>
      </c>
    </row>
    <row r="11" customFormat="false" ht="30" hidden="false" customHeight="true" outlineLevel="0" collapsed="false">
      <c r="B11" s="3" t="s">
        <v>14</v>
      </c>
      <c r="C11" s="4" t="s">
        <v>15</v>
      </c>
    </row>
    <row r="12" customFormat="false" ht="30" hidden="false" customHeight="true" outlineLevel="0" collapsed="false">
      <c r="B12" s="3" t="s">
        <v>16</v>
      </c>
      <c r="C12" s="4" t="s">
        <v>17</v>
      </c>
    </row>
    <row r="13" customFormat="false" ht="30" hidden="false" customHeight="true" outlineLevel="0" collapsed="false">
      <c r="B13" s="3" t="s">
        <v>18</v>
      </c>
      <c r="C13" s="4" t="s">
        <v>19</v>
      </c>
    </row>
    <row r="15" customFormat="false" ht="15" hidden="false" customHeight="false" outlineLevel="0" collapsed="false">
      <c r="B15" s="5" t="s">
        <v>20</v>
      </c>
    </row>
    <row r="16" customFormat="false" ht="15" hidden="false" customHeight="false" outlineLevel="0" collapsed="false">
      <c r="B16" s="6"/>
      <c r="C16" s="7" t="s">
        <v>21</v>
      </c>
    </row>
    <row r="17" customFormat="false" ht="15" hidden="false" customHeight="false" outlineLevel="0" collapsed="false">
      <c r="B17" s="8"/>
      <c r="C17" s="7" t="s">
        <v>22</v>
      </c>
    </row>
    <row r="18" customFormat="false" ht="15" hidden="false" customHeight="false" outlineLevel="0" collapsed="false">
      <c r="B18" s="9"/>
      <c r="C18" s="7" t="s">
        <v>23</v>
      </c>
    </row>
    <row r="19" customFormat="false" ht="15" hidden="false" customHeight="false" outlineLevel="0" collapsed="false">
      <c r="B19" s="10"/>
      <c r="C19" s="7" t="s">
        <v>24</v>
      </c>
    </row>
    <row r="20" customFormat="false" ht="15" hidden="false" customHeight="false" outlineLevel="0" collapsed="false">
      <c r="B20" s="11"/>
      <c r="C20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4"/>
    <col collapsed="false" customWidth="true" hidden="false" outlineLevel="0" max="14" min="14" style="0" width="32"/>
  </cols>
  <sheetData>
    <row r="1" customFormat="false" ht="19.7" hidden="false" customHeight="false" outlineLevel="0" collapsed="false">
      <c r="A1" s="1" t="s">
        <v>26</v>
      </c>
    </row>
    <row r="2" customFormat="false" ht="15" hidden="false" customHeight="false" outlineLevel="0" collapsed="false">
      <c r="A2" s="12" t="s">
        <v>27</v>
      </c>
      <c r="B2" s="13" t="s">
        <v>28</v>
      </c>
      <c r="C2" s="13"/>
      <c r="E2" s="12" t="s">
        <v>29</v>
      </c>
      <c r="F2" s="13" t="s">
        <v>30</v>
      </c>
      <c r="H2" s="12" t="s">
        <v>31</v>
      </c>
      <c r="I2" s="14" t="n">
        <f aca="true">TODAY()</f>
        <v>46302</v>
      </c>
      <c r="K2" s="15" t="s">
        <v>32</v>
      </c>
      <c r="L2" s="16" t="n">
        <f aca="false">COUNTIF(M5:M104,"Pendiente")+COUNTIF(M5:M104,"En proceso")</f>
        <v>3</v>
      </c>
      <c r="M2" s="15" t="s">
        <v>33</v>
      </c>
      <c r="N2" s="16" t="n">
        <f aca="true">SUMPRODUCT((E5:E104&lt;&gt;"")*(E5:E104&lt;TODAY())*(M5:M104&lt;&gt;"Completada")*(M5:M104&lt;&gt;"Cancelada"))</f>
        <v>0</v>
      </c>
    </row>
    <row r="4" customFormat="false" ht="33.75" hidden="false" customHeight="true" outlineLevel="0" collapsed="false">
      <c r="A4" s="17" t="s">
        <v>34</v>
      </c>
      <c r="B4" s="17" t="s">
        <v>35</v>
      </c>
      <c r="C4" s="17" t="s">
        <v>36</v>
      </c>
      <c r="D4" s="17" t="s">
        <v>37</v>
      </c>
      <c r="E4" s="17" t="s">
        <v>6</v>
      </c>
      <c r="F4" s="17" t="s">
        <v>14</v>
      </c>
      <c r="G4" s="17" t="s">
        <v>38</v>
      </c>
      <c r="H4" s="17" t="s">
        <v>39</v>
      </c>
      <c r="I4" s="17" t="s">
        <v>40</v>
      </c>
      <c r="J4" s="17" t="s">
        <v>41</v>
      </c>
      <c r="K4" s="17" t="s">
        <v>42</v>
      </c>
      <c r="L4" s="17" t="s">
        <v>43</v>
      </c>
      <c r="M4" s="17" t="s">
        <v>12</v>
      </c>
      <c r="N4" s="17" t="s">
        <v>44</v>
      </c>
    </row>
    <row r="5" customFormat="false" ht="30" hidden="false" customHeight="true" outlineLevel="0" collapsed="false">
      <c r="A5" s="18" t="n">
        <f aca="false">IF(B5="","",ROW()-4)</f>
        <v>1</v>
      </c>
      <c r="B5" s="19" t="s">
        <v>45</v>
      </c>
      <c r="C5" s="19" t="s">
        <v>46</v>
      </c>
      <c r="D5" s="19" t="s">
        <v>47</v>
      </c>
      <c r="E5" s="20" t="n">
        <v>46315</v>
      </c>
      <c r="F5" s="21" t="n">
        <f aca="true">IF(OR(E5="",M5="Completada",M5="Cancelada"),"",E5-TODAY())</f>
        <v>13</v>
      </c>
      <c r="G5" s="19" t="s">
        <v>48</v>
      </c>
      <c r="H5" s="22" t="str">
        <f aca="false">IF(G5="","",IFERROR(INDEX(Contactos!$C$4:$C$100,MATCH(G5,Contactos!$A$4:$A$100,0)),""))</f>
        <v>600 333 444</v>
      </c>
      <c r="I5" s="22" t="str">
        <f aca="false">IF(G5="","",IFERROR(INDEX(Contactos!$D$4:$D$100,MATCH(G5,Contactos!$A$4:$A$100,0)),""))</f>
        <v>carlos.perez@ejemplo.com</v>
      </c>
      <c r="J5" s="20" t="n">
        <v>46340</v>
      </c>
      <c r="K5" s="23" t="n">
        <v>0.375</v>
      </c>
      <c r="L5" s="19" t="s">
        <v>49</v>
      </c>
      <c r="M5" s="24" t="s">
        <v>50</v>
      </c>
      <c r="N5" s="19"/>
    </row>
    <row r="6" customFormat="false" ht="30" hidden="false" customHeight="true" outlineLevel="0" collapsed="false">
      <c r="A6" s="18" t="n">
        <f aca="false">IF(B6="","",ROW()-4)</f>
        <v>2</v>
      </c>
      <c r="B6" s="19" t="s">
        <v>51</v>
      </c>
      <c r="C6" s="19" t="s">
        <v>52</v>
      </c>
      <c r="D6" s="19" t="s">
        <v>48</v>
      </c>
      <c r="E6" s="20" t="n">
        <v>46325</v>
      </c>
      <c r="F6" s="21" t="n">
        <f aca="true">IF(OR(E6="",M6="Completada",M6="Cancelada"),"",E6-TODAY())</f>
        <v>23</v>
      </c>
      <c r="G6" s="19" t="s">
        <v>53</v>
      </c>
      <c r="H6" s="22" t="str">
        <f aca="false">IF(G6="","",IFERROR(INDEX(Contactos!$C$4:$C$100,MATCH(G6,Contactos!$A$4:$A$100,0)),""))</f>
        <v>600 555 666</v>
      </c>
      <c r="I6" s="22" t="str">
        <f aca="false">IF(G6="","",IFERROR(INDEX(Contactos!$D$4:$D$100,MATCH(G6,Contactos!$A$4:$A$100,0)),""))</f>
        <v>marta.ruiz@ejemplo.com</v>
      </c>
      <c r="J6" s="20" t="n">
        <v>46340</v>
      </c>
      <c r="K6" s="23" t="n">
        <v>0.5625</v>
      </c>
      <c r="L6" s="19" t="s">
        <v>54</v>
      </c>
      <c r="M6" s="24" t="s">
        <v>55</v>
      </c>
      <c r="N6" s="19" t="s">
        <v>56</v>
      </c>
    </row>
    <row r="7" customFormat="false" ht="30" hidden="false" customHeight="true" outlineLevel="0" collapsed="false">
      <c r="A7" s="18" t="n">
        <f aca="false">IF(B7="","",ROW()-4)</f>
        <v>3</v>
      </c>
      <c r="B7" s="19" t="s">
        <v>57</v>
      </c>
      <c r="C7" s="19" t="s">
        <v>58</v>
      </c>
      <c r="D7" s="19" t="s">
        <v>59</v>
      </c>
      <c r="E7" s="20" t="n">
        <v>46339</v>
      </c>
      <c r="F7" s="21" t="n">
        <f aca="true">IF(OR(E7="",M7="Completada",M7="Cancelada"),"",E7-TODAY())</f>
        <v>37</v>
      </c>
      <c r="G7" s="19" t="s">
        <v>47</v>
      </c>
      <c r="H7" s="22" t="str">
        <f aca="false">IF(G7="","",IFERROR(INDEX(Contactos!$C$4:$C$100,MATCH(G7,Contactos!$A$4:$A$100,0)),""))</f>
        <v>600 111 222</v>
      </c>
      <c r="I7" s="22" t="str">
        <f aca="false">IF(G7="","",IFERROR(INDEX(Contactos!$D$4:$D$100,MATCH(G7,Contactos!$A$4:$A$100,0)),""))</f>
        <v>laura.gomez@ejemplo.com</v>
      </c>
      <c r="J7" s="20" t="n">
        <v>46340</v>
      </c>
      <c r="K7" s="23" t="n">
        <v>0.333333333333333</v>
      </c>
      <c r="L7" s="19" t="s">
        <v>60</v>
      </c>
      <c r="M7" s="24" t="s">
        <v>55</v>
      </c>
      <c r="N7" s="19"/>
    </row>
    <row r="8" customFormat="false" ht="30" hidden="false" customHeight="true" outlineLevel="0" collapsed="false">
      <c r="A8" s="18" t="str">
        <f aca="false">IF(B8="","",ROW()-4)</f>
        <v/>
      </c>
      <c r="B8" s="19"/>
      <c r="C8" s="19"/>
      <c r="D8" s="19"/>
      <c r="E8" s="20"/>
      <c r="F8" s="21" t="str">
        <f aca="true">IF(OR(E8="",M8="Completada",M8="Cancelada"),"",E8-TODAY())</f>
        <v/>
      </c>
      <c r="G8" s="19"/>
      <c r="H8" s="22" t="str">
        <f aca="false">IF(G8="","",IFERROR(INDEX(Contactos!$C$4:$C$100,MATCH(G8,Contactos!$A$4:$A$100,0)),""))</f>
        <v/>
      </c>
      <c r="I8" s="22" t="str">
        <f aca="false">IF(G8="","",IFERROR(INDEX(Contactos!$D$4:$D$100,MATCH(G8,Contactos!$A$4:$A$100,0)),""))</f>
        <v/>
      </c>
      <c r="J8" s="20"/>
      <c r="K8" s="23"/>
      <c r="L8" s="19"/>
      <c r="M8" s="24"/>
      <c r="N8" s="19"/>
    </row>
    <row r="9" customFormat="false" ht="30" hidden="false" customHeight="true" outlineLevel="0" collapsed="false">
      <c r="A9" s="18" t="str">
        <f aca="false">IF(B9="","",ROW()-4)</f>
        <v/>
      </c>
      <c r="B9" s="19"/>
      <c r="C9" s="19"/>
      <c r="D9" s="19"/>
      <c r="E9" s="20"/>
      <c r="F9" s="21" t="str">
        <f aca="true">IF(OR(E9="",M9="Completada",M9="Cancelada"),"",E9-TODAY())</f>
        <v/>
      </c>
      <c r="G9" s="19"/>
      <c r="H9" s="22" t="str">
        <f aca="false">IF(G9="","",IFERROR(INDEX(Contactos!$C$4:$C$100,MATCH(G9,Contactos!$A$4:$A$100,0)),""))</f>
        <v/>
      </c>
      <c r="I9" s="22" t="str">
        <f aca="false">IF(G9="","",IFERROR(INDEX(Contactos!$D$4:$D$100,MATCH(G9,Contactos!$A$4:$A$100,0)),""))</f>
        <v/>
      </c>
      <c r="J9" s="20"/>
      <c r="K9" s="23"/>
      <c r="L9" s="19"/>
      <c r="M9" s="24"/>
      <c r="N9" s="19"/>
    </row>
    <row r="10" customFormat="false" ht="30" hidden="false" customHeight="true" outlineLevel="0" collapsed="false">
      <c r="A10" s="18" t="str">
        <f aca="false">IF(B10="","",ROW()-4)</f>
        <v/>
      </c>
      <c r="B10" s="19"/>
      <c r="C10" s="19"/>
      <c r="D10" s="19"/>
      <c r="E10" s="20"/>
      <c r="F10" s="21" t="str">
        <f aca="true">IF(OR(E10="",M10="Completada",M10="Cancelada"),"",E10-TODAY())</f>
        <v/>
      </c>
      <c r="G10" s="19"/>
      <c r="H10" s="22" t="str">
        <f aca="false">IF(G10="","",IFERROR(INDEX(Contactos!$C$4:$C$100,MATCH(G10,Contactos!$A$4:$A$100,0)),""))</f>
        <v/>
      </c>
      <c r="I10" s="22" t="str">
        <f aca="false">IF(G10="","",IFERROR(INDEX(Contactos!$D$4:$D$100,MATCH(G10,Contactos!$A$4:$A$100,0)),""))</f>
        <v/>
      </c>
      <c r="J10" s="20"/>
      <c r="K10" s="23"/>
      <c r="L10" s="19"/>
      <c r="M10" s="24"/>
      <c r="N10" s="19"/>
    </row>
    <row r="11" customFormat="false" ht="30" hidden="false" customHeight="true" outlineLevel="0" collapsed="false">
      <c r="A11" s="18" t="str">
        <f aca="false">IF(B11="","",ROW()-4)</f>
        <v/>
      </c>
      <c r="B11" s="19"/>
      <c r="C11" s="19"/>
      <c r="D11" s="19"/>
      <c r="E11" s="20"/>
      <c r="F11" s="21" t="str">
        <f aca="true">IF(OR(E11="",M11="Completada",M11="Cancelada"),"",E11-TODAY())</f>
        <v/>
      </c>
      <c r="G11" s="19"/>
      <c r="H11" s="22" t="str">
        <f aca="false">IF(G11="","",IFERROR(INDEX(Contactos!$C$4:$C$100,MATCH(G11,Contactos!$A$4:$A$100,0)),""))</f>
        <v/>
      </c>
      <c r="I11" s="22" t="str">
        <f aca="false">IF(G11="","",IFERROR(INDEX(Contactos!$D$4:$D$100,MATCH(G11,Contactos!$A$4:$A$100,0)),""))</f>
        <v/>
      </c>
      <c r="J11" s="20"/>
      <c r="K11" s="23"/>
      <c r="L11" s="19"/>
      <c r="M11" s="24"/>
      <c r="N11" s="19"/>
    </row>
    <row r="12" customFormat="false" ht="30" hidden="false" customHeight="true" outlineLevel="0" collapsed="false">
      <c r="A12" s="18" t="str">
        <f aca="false">IF(B12="","",ROW()-4)</f>
        <v/>
      </c>
      <c r="B12" s="19"/>
      <c r="C12" s="19"/>
      <c r="D12" s="19"/>
      <c r="E12" s="20"/>
      <c r="F12" s="21" t="str">
        <f aca="true">IF(OR(E12="",M12="Completada",M12="Cancelada"),"",E12-TODAY())</f>
        <v/>
      </c>
      <c r="G12" s="19"/>
      <c r="H12" s="22" t="str">
        <f aca="false">IF(G12="","",IFERROR(INDEX(Contactos!$C$4:$C$100,MATCH(G12,Contactos!$A$4:$A$100,0)),""))</f>
        <v/>
      </c>
      <c r="I12" s="22" t="str">
        <f aca="false">IF(G12="","",IFERROR(INDEX(Contactos!$D$4:$D$100,MATCH(G12,Contactos!$A$4:$A$100,0)),""))</f>
        <v/>
      </c>
      <c r="J12" s="20"/>
      <c r="K12" s="23"/>
      <c r="L12" s="19"/>
      <c r="M12" s="24"/>
      <c r="N12" s="19"/>
    </row>
    <row r="13" customFormat="false" ht="30" hidden="false" customHeight="true" outlineLevel="0" collapsed="false">
      <c r="A13" s="18" t="str">
        <f aca="false">IF(B13="","",ROW()-4)</f>
        <v/>
      </c>
      <c r="B13" s="19"/>
      <c r="C13" s="19"/>
      <c r="D13" s="19"/>
      <c r="E13" s="20"/>
      <c r="F13" s="21" t="str">
        <f aca="true">IF(OR(E13="",M13="Completada",M13="Cancelada"),"",E13-TODAY())</f>
        <v/>
      </c>
      <c r="G13" s="19"/>
      <c r="H13" s="22" t="str">
        <f aca="false">IF(G13="","",IFERROR(INDEX(Contactos!$C$4:$C$100,MATCH(G13,Contactos!$A$4:$A$100,0)),""))</f>
        <v/>
      </c>
      <c r="I13" s="22" t="str">
        <f aca="false">IF(G13="","",IFERROR(INDEX(Contactos!$D$4:$D$100,MATCH(G13,Contactos!$A$4:$A$100,0)),""))</f>
        <v/>
      </c>
      <c r="J13" s="20"/>
      <c r="K13" s="23"/>
      <c r="L13" s="19"/>
      <c r="M13" s="24"/>
      <c r="N13" s="19"/>
    </row>
    <row r="14" customFormat="false" ht="30" hidden="false" customHeight="true" outlineLevel="0" collapsed="false">
      <c r="A14" s="18" t="str">
        <f aca="false">IF(B14="","",ROW()-4)</f>
        <v/>
      </c>
      <c r="B14" s="19"/>
      <c r="C14" s="19"/>
      <c r="D14" s="19"/>
      <c r="E14" s="20"/>
      <c r="F14" s="21" t="str">
        <f aca="true">IF(OR(E14="",M14="Completada",M14="Cancelada"),"",E14-TODAY())</f>
        <v/>
      </c>
      <c r="G14" s="19"/>
      <c r="H14" s="22" t="str">
        <f aca="false">IF(G14="","",IFERROR(INDEX(Contactos!$C$4:$C$100,MATCH(G14,Contactos!$A$4:$A$100,0)),""))</f>
        <v/>
      </c>
      <c r="I14" s="22" t="str">
        <f aca="false">IF(G14="","",IFERROR(INDEX(Contactos!$D$4:$D$100,MATCH(G14,Contactos!$A$4:$A$100,0)),""))</f>
        <v/>
      </c>
      <c r="J14" s="20"/>
      <c r="K14" s="23"/>
      <c r="L14" s="19"/>
      <c r="M14" s="24"/>
      <c r="N14" s="19"/>
    </row>
    <row r="15" customFormat="false" ht="30" hidden="false" customHeight="true" outlineLevel="0" collapsed="false">
      <c r="A15" s="18" t="str">
        <f aca="false">IF(B15="","",ROW()-4)</f>
        <v/>
      </c>
      <c r="B15" s="19"/>
      <c r="C15" s="19"/>
      <c r="D15" s="19"/>
      <c r="E15" s="20"/>
      <c r="F15" s="21" t="str">
        <f aca="true">IF(OR(E15="",M15="Completada",M15="Cancelada"),"",E15-TODAY())</f>
        <v/>
      </c>
      <c r="G15" s="19"/>
      <c r="H15" s="22" t="str">
        <f aca="false">IF(G15="","",IFERROR(INDEX(Contactos!$C$4:$C$100,MATCH(G15,Contactos!$A$4:$A$100,0)),""))</f>
        <v/>
      </c>
      <c r="I15" s="22" t="str">
        <f aca="false">IF(G15="","",IFERROR(INDEX(Contactos!$D$4:$D$100,MATCH(G15,Contactos!$A$4:$A$100,0)),""))</f>
        <v/>
      </c>
      <c r="J15" s="20"/>
      <c r="K15" s="23"/>
      <c r="L15" s="19"/>
      <c r="M15" s="24"/>
      <c r="N15" s="19"/>
    </row>
    <row r="16" customFormat="false" ht="30" hidden="false" customHeight="true" outlineLevel="0" collapsed="false">
      <c r="A16" s="18" t="str">
        <f aca="false">IF(B16="","",ROW()-4)</f>
        <v/>
      </c>
      <c r="B16" s="19"/>
      <c r="C16" s="19"/>
      <c r="D16" s="19"/>
      <c r="E16" s="20"/>
      <c r="F16" s="21" t="str">
        <f aca="true">IF(OR(E16="",M16="Completada",M16="Cancelada"),"",E16-TODAY())</f>
        <v/>
      </c>
      <c r="G16" s="19"/>
      <c r="H16" s="22" t="str">
        <f aca="false">IF(G16="","",IFERROR(INDEX(Contactos!$C$4:$C$100,MATCH(G16,Contactos!$A$4:$A$100,0)),""))</f>
        <v/>
      </c>
      <c r="I16" s="22" t="str">
        <f aca="false">IF(G16="","",IFERROR(INDEX(Contactos!$D$4:$D$100,MATCH(G16,Contactos!$A$4:$A$100,0)),""))</f>
        <v/>
      </c>
      <c r="J16" s="20"/>
      <c r="K16" s="23"/>
      <c r="L16" s="19"/>
      <c r="M16" s="24"/>
      <c r="N16" s="19"/>
    </row>
    <row r="17" customFormat="false" ht="30" hidden="false" customHeight="true" outlineLevel="0" collapsed="false">
      <c r="A17" s="18" t="str">
        <f aca="false">IF(B17="","",ROW()-4)</f>
        <v/>
      </c>
      <c r="B17" s="19"/>
      <c r="C17" s="19"/>
      <c r="D17" s="19"/>
      <c r="E17" s="20"/>
      <c r="F17" s="21" t="str">
        <f aca="true">IF(OR(E17="",M17="Completada",M17="Cancelada"),"",E17-TODAY())</f>
        <v/>
      </c>
      <c r="G17" s="19"/>
      <c r="H17" s="22" t="str">
        <f aca="false">IF(G17="","",IFERROR(INDEX(Contactos!$C$4:$C$100,MATCH(G17,Contactos!$A$4:$A$100,0)),""))</f>
        <v/>
      </c>
      <c r="I17" s="22" t="str">
        <f aca="false">IF(G17="","",IFERROR(INDEX(Contactos!$D$4:$D$100,MATCH(G17,Contactos!$A$4:$A$100,0)),""))</f>
        <v/>
      </c>
      <c r="J17" s="20"/>
      <c r="K17" s="23"/>
      <c r="L17" s="19"/>
      <c r="M17" s="24"/>
      <c r="N17" s="19"/>
    </row>
    <row r="18" customFormat="false" ht="30" hidden="false" customHeight="true" outlineLevel="0" collapsed="false">
      <c r="A18" s="18" t="str">
        <f aca="false">IF(B18="","",ROW()-4)</f>
        <v/>
      </c>
      <c r="B18" s="19"/>
      <c r="C18" s="19"/>
      <c r="D18" s="19"/>
      <c r="E18" s="20"/>
      <c r="F18" s="21" t="str">
        <f aca="true">IF(OR(E18="",M18="Completada",M18="Cancelada"),"",E18-TODAY())</f>
        <v/>
      </c>
      <c r="G18" s="19"/>
      <c r="H18" s="22" t="str">
        <f aca="false">IF(G18="","",IFERROR(INDEX(Contactos!$C$4:$C$100,MATCH(G18,Contactos!$A$4:$A$100,0)),""))</f>
        <v/>
      </c>
      <c r="I18" s="22" t="str">
        <f aca="false">IF(G18="","",IFERROR(INDEX(Contactos!$D$4:$D$100,MATCH(G18,Contactos!$A$4:$A$100,0)),""))</f>
        <v/>
      </c>
      <c r="J18" s="20"/>
      <c r="K18" s="23"/>
      <c r="L18" s="19"/>
      <c r="M18" s="24"/>
      <c r="N18" s="19"/>
    </row>
    <row r="19" customFormat="false" ht="30" hidden="false" customHeight="true" outlineLevel="0" collapsed="false">
      <c r="A19" s="18" t="str">
        <f aca="false">IF(B19="","",ROW()-4)</f>
        <v/>
      </c>
      <c r="B19" s="19"/>
      <c r="C19" s="19"/>
      <c r="D19" s="19"/>
      <c r="E19" s="20"/>
      <c r="F19" s="21" t="str">
        <f aca="true">IF(OR(E19="",M19="Completada",M19="Cancelada"),"",E19-TODAY())</f>
        <v/>
      </c>
      <c r="G19" s="19"/>
      <c r="H19" s="22" t="str">
        <f aca="false">IF(G19="","",IFERROR(INDEX(Contactos!$C$4:$C$100,MATCH(G19,Contactos!$A$4:$A$100,0)),""))</f>
        <v/>
      </c>
      <c r="I19" s="22" t="str">
        <f aca="false">IF(G19="","",IFERROR(INDEX(Contactos!$D$4:$D$100,MATCH(G19,Contactos!$A$4:$A$100,0)),""))</f>
        <v/>
      </c>
      <c r="J19" s="20"/>
      <c r="K19" s="23"/>
      <c r="L19" s="19"/>
      <c r="M19" s="24"/>
      <c r="N19" s="19"/>
    </row>
    <row r="20" customFormat="false" ht="30" hidden="false" customHeight="true" outlineLevel="0" collapsed="false">
      <c r="A20" s="18" t="str">
        <f aca="false">IF(B20="","",ROW()-4)</f>
        <v/>
      </c>
      <c r="B20" s="19"/>
      <c r="C20" s="19"/>
      <c r="D20" s="19"/>
      <c r="E20" s="20"/>
      <c r="F20" s="21" t="str">
        <f aca="true">IF(OR(E20="",M20="Completada",M20="Cancelada"),"",E20-TODAY())</f>
        <v/>
      </c>
      <c r="G20" s="19"/>
      <c r="H20" s="22" t="str">
        <f aca="false">IF(G20="","",IFERROR(INDEX(Contactos!$C$4:$C$100,MATCH(G20,Contactos!$A$4:$A$100,0)),""))</f>
        <v/>
      </c>
      <c r="I20" s="22" t="str">
        <f aca="false">IF(G20="","",IFERROR(INDEX(Contactos!$D$4:$D$100,MATCH(G20,Contactos!$A$4:$A$100,0)),""))</f>
        <v/>
      </c>
      <c r="J20" s="20"/>
      <c r="K20" s="23"/>
      <c r="L20" s="19"/>
      <c r="M20" s="24"/>
      <c r="N20" s="19"/>
    </row>
    <row r="21" customFormat="false" ht="30" hidden="false" customHeight="true" outlineLevel="0" collapsed="false">
      <c r="A21" s="18" t="str">
        <f aca="false">IF(B21="","",ROW()-4)</f>
        <v/>
      </c>
      <c r="B21" s="19"/>
      <c r="C21" s="19"/>
      <c r="D21" s="19"/>
      <c r="E21" s="20"/>
      <c r="F21" s="21" t="str">
        <f aca="true">IF(OR(E21="",M21="Completada",M21="Cancelada"),"",E21-TODAY())</f>
        <v/>
      </c>
      <c r="G21" s="19"/>
      <c r="H21" s="22" t="str">
        <f aca="false">IF(G21="","",IFERROR(INDEX(Contactos!$C$4:$C$100,MATCH(G21,Contactos!$A$4:$A$100,0)),""))</f>
        <v/>
      </c>
      <c r="I21" s="22" t="str">
        <f aca="false">IF(G21="","",IFERROR(INDEX(Contactos!$D$4:$D$100,MATCH(G21,Contactos!$A$4:$A$100,0)),""))</f>
        <v/>
      </c>
      <c r="J21" s="20"/>
      <c r="K21" s="23"/>
      <c r="L21" s="19"/>
      <c r="M21" s="24"/>
      <c r="N21" s="19"/>
    </row>
    <row r="22" customFormat="false" ht="30" hidden="false" customHeight="true" outlineLevel="0" collapsed="false">
      <c r="A22" s="18" t="str">
        <f aca="false">IF(B22="","",ROW()-4)</f>
        <v/>
      </c>
      <c r="B22" s="19"/>
      <c r="C22" s="19"/>
      <c r="D22" s="19"/>
      <c r="E22" s="20"/>
      <c r="F22" s="21" t="str">
        <f aca="true">IF(OR(E22="",M22="Completada",M22="Cancelada"),"",E22-TODAY())</f>
        <v/>
      </c>
      <c r="G22" s="19"/>
      <c r="H22" s="22" t="str">
        <f aca="false">IF(G22="","",IFERROR(INDEX(Contactos!$C$4:$C$100,MATCH(G22,Contactos!$A$4:$A$100,0)),""))</f>
        <v/>
      </c>
      <c r="I22" s="22" t="str">
        <f aca="false">IF(G22="","",IFERROR(INDEX(Contactos!$D$4:$D$100,MATCH(G22,Contactos!$A$4:$A$100,0)),""))</f>
        <v/>
      </c>
      <c r="J22" s="20"/>
      <c r="K22" s="23"/>
      <c r="L22" s="19"/>
      <c r="M22" s="24"/>
      <c r="N22" s="19"/>
    </row>
    <row r="23" customFormat="false" ht="30" hidden="false" customHeight="true" outlineLevel="0" collapsed="false">
      <c r="A23" s="18" t="str">
        <f aca="false">IF(B23="","",ROW()-4)</f>
        <v/>
      </c>
      <c r="B23" s="19"/>
      <c r="C23" s="19"/>
      <c r="D23" s="19"/>
      <c r="E23" s="20"/>
      <c r="F23" s="21" t="str">
        <f aca="true">IF(OR(E23="",M23="Completada",M23="Cancelada"),"",E23-TODAY())</f>
        <v/>
      </c>
      <c r="G23" s="19"/>
      <c r="H23" s="22" t="str">
        <f aca="false">IF(G23="","",IFERROR(INDEX(Contactos!$C$4:$C$100,MATCH(G23,Contactos!$A$4:$A$100,0)),""))</f>
        <v/>
      </c>
      <c r="I23" s="22" t="str">
        <f aca="false">IF(G23="","",IFERROR(INDEX(Contactos!$D$4:$D$100,MATCH(G23,Contactos!$A$4:$A$100,0)),""))</f>
        <v/>
      </c>
      <c r="J23" s="20"/>
      <c r="K23" s="23"/>
      <c r="L23" s="19"/>
      <c r="M23" s="24"/>
      <c r="N23" s="19"/>
    </row>
    <row r="24" customFormat="false" ht="30" hidden="false" customHeight="true" outlineLevel="0" collapsed="false">
      <c r="A24" s="18" t="str">
        <f aca="false">IF(B24="","",ROW()-4)</f>
        <v/>
      </c>
      <c r="B24" s="19"/>
      <c r="C24" s="19"/>
      <c r="D24" s="19"/>
      <c r="E24" s="20"/>
      <c r="F24" s="21" t="str">
        <f aca="true">IF(OR(E24="",M24="Completada",M24="Cancelada"),"",E24-TODAY())</f>
        <v/>
      </c>
      <c r="G24" s="19"/>
      <c r="H24" s="22" t="str">
        <f aca="false">IF(G24="","",IFERROR(INDEX(Contactos!$C$4:$C$100,MATCH(G24,Contactos!$A$4:$A$100,0)),""))</f>
        <v/>
      </c>
      <c r="I24" s="22" t="str">
        <f aca="false">IF(G24="","",IFERROR(INDEX(Contactos!$D$4:$D$100,MATCH(G24,Contactos!$A$4:$A$100,0)),""))</f>
        <v/>
      </c>
      <c r="J24" s="20"/>
      <c r="K24" s="23"/>
      <c r="L24" s="19"/>
      <c r="M24" s="24"/>
      <c r="N24" s="19"/>
    </row>
    <row r="25" customFormat="false" ht="30" hidden="false" customHeight="true" outlineLevel="0" collapsed="false">
      <c r="A25" s="18" t="str">
        <f aca="false">IF(B25="","",ROW()-4)</f>
        <v/>
      </c>
      <c r="B25" s="19"/>
      <c r="C25" s="19"/>
      <c r="D25" s="19"/>
      <c r="E25" s="20"/>
      <c r="F25" s="21" t="str">
        <f aca="true">IF(OR(E25="",M25="Completada",M25="Cancelada"),"",E25-TODAY())</f>
        <v/>
      </c>
      <c r="G25" s="19"/>
      <c r="H25" s="22" t="str">
        <f aca="false">IF(G25="","",IFERROR(INDEX(Contactos!$C$4:$C$100,MATCH(G25,Contactos!$A$4:$A$100,0)),""))</f>
        <v/>
      </c>
      <c r="I25" s="22" t="str">
        <f aca="false">IF(G25="","",IFERROR(INDEX(Contactos!$D$4:$D$100,MATCH(G25,Contactos!$A$4:$A$100,0)),""))</f>
        <v/>
      </c>
      <c r="J25" s="20"/>
      <c r="K25" s="23"/>
      <c r="L25" s="19"/>
      <c r="M25" s="24"/>
      <c r="N25" s="19"/>
    </row>
    <row r="26" customFormat="false" ht="30" hidden="false" customHeight="true" outlineLevel="0" collapsed="false">
      <c r="A26" s="18" t="str">
        <f aca="false">IF(B26="","",ROW()-4)</f>
        <v/>
      </c>
      <c r="B26" s="19"/>
      <c r="C26" s="19"/>
      <c r="D26" s="19"/>
      <c r="E26" s="20"/>
      <c r="F26" s="21" t="str">
        <f aca="true">IF(OR(E26="",M26="Completada",M26="Cancelada"),"",E26-TODAY())</f>
        <v/>
      </c>
      <c r="G26" s="19"/>
      <c r="H26" s="22" t="str">
        <f aca="false">IF(G26="","",IFERROR(INDEX(Contactos!$C$4:$C$100,MATCH(G26,Contactos!$A$4:$A$100,0)),""))</f>
        <v/>
      </c>
      <c r="I26" s="22" t="str">
        <f aca="false">IF(G26="","",IFERROR(INDEX(Contactos!$D$4:$D$100,MATCH(G26,Contactos!$A$4:$A$100,0)),""))</f>
        <v/>
      </c>
      <c r="J26" s="20"/>
      <c r="K26" s="23"/>
      <c r="L26" s="19"/>
      <c r="M26" s="24"/>
      <c r="N26" s="19"/>
    </row>
    <row r="27" customFormat="false" ht="30" hidden="false" customHeight="true" outlineLevel="0" collapsed="false">
      <c r="A27" s="18" t="str">
        <f aca="false">IF(B27="","",ROW()-4)</f>
        <v/>
      </c>
      <c r="B27" s="19"/>
      <c r="C27" s="19"/>
      <c r="D27" s="19"/>
      <c r="E27" s="20"/>
      <c r="F27" s="21" t="str">
        <f aca="true">IF(OR(E27="",M27="Completada",M27="Cancelada"),"",E27-TODAY())</f>
        <v/>
      </c>
      <c r="G27" s="19"/>
      <c r="H27" s="22" t="str">
        <f aca="false">IF(G27="","",IFERROR(INDEX(Contactos!$C$4:$C$100,MATCH(G27,Contactos!$A$4:$A$100,0)),""))</f>
        <v/>
      </c>
      <c r="I27" s="22" t="str">
        <f aca="false">IF(G27="","",IFERROR(INDEX(Contactos!$D$4:$D$100,MATCH(G27,Contactos!$A$4:$A$100,0)),""))</f>
        <v/>
      </c>
      <c r="J27" s="20"/>
      <c r="K27" s="23"/>
      <c r="L27" s="19"/>
      <c r="M27" s="24"/>
      <c r="N27" s="19"/>
    </row>
    <row r="28" customFormat="false" ht="30" hidden="false" customHeight="true" outlineLevel="0" collapsed="false">
      <c r="A28" s="18" t="str">
        <f aca="false">IF(B28="","",ROW()-4)</f>
        <v/>
      </c>
      <c r="B28" s="19"/>
      <c r="C28" s="19"/>
      <c r="D28" s="19"/>
      <c r="E28" s="20"/>
      <c r="F28" s="21" t="str">
        <f aca="true">IF(OR(E28="",M28="Completada",M28="Cancelada"),"",E28-TODAY())</f>
        <v/>
      </c>
      <c r="G28" s="19"/>
      <c r="H28" s="22" t="str">
        <f aca="false">IF(G28="","",IFERROR(INDEX(Contactos!$C$4:$C$100,MATCH(G28,Contactos!$A$4:$A$100,0)),""))</f>
        <v/>
      </c>
      <c r="I28" s="22" t="str">
        <f aca="false">IF(G28="","",IFERROR(INDEX(Contactos!$D$4:$D$100,MATCH(G28,Contactos!$A$4:$A$100,0)),""))</f>
        <v/>
      </c>
      <c r="J28" s="20"/>
      <c r="K28" s="23"/>
      <c r="L28" s="19"/>
      <c r="M28" s="24"/>
      <c r="N28" s="19"/>
    </row>
    <row r="29" customFormat="false" ht="30" hidden="false" customHeight="true" outlineLevel="0" collapsed="false">
      <c r="A29" s="18" t="str">
        <f aca="false">IF(B29="","",ROW()-4)</f>
        <v/>
      </c>
      <c r="B29" s="19"/>
      <c r="C29" s="19"/>
      <c r="D29" s="19"/>
      <c r="E29" s="20"/>
      <c r="F29" s="21" t="str">
        <f aca="true">IF(OR(E29="",M29="Completada",M29="Cancelada"),"",E29-TODAY())</f>
        <v/>
      </c>
      <c r="G29" s="19"/>
      <c r="H29" s="22" t="str">
        <f aca="false">IF(G29="","",IFERROR(INDEX(Contactos!$C$4:$C$100,MATCH(G29,Contactos!$A$4:$A$100,0)),""))</f>
        <v/>
      </c>
      <c r="I29" s="22" t="str">
        <f aca="false">IF(G29="","",IFERROR(INDEX(Contactos!$D$4:$D$100,MATCH(G29,Contactos!$A$4:$A$100,0)),""))</f>
        <v/>
      </c>
      <c r="J29" s="20"/>
      <c r="K29" s="23"/>
      <c r="L29" s="19"/>
      <c r="M29" s="24"/>
      <c r="N29" s="19"/>
    </row>
    <row r="30" customFormat="false" ht="30" hidden="false" customHeight="true" outlineLevel="0" collapsed="false">
      <c r="A30" s="18" t="str">
        <f aca="false">IF(B30="","",ROW()-4)</f>
        <v/>
      </c>
      <c r="B30" s="19"/>
      <c r="C30" s="19"/>
      <c r="D30" s="19"/>
      <c r="E30" s="20"/>
      <c r="F30" s="21" t="str">
        <f aca="true">IF(OR(E30="",M30="Completada",M30="Cancelada"),"",E30-TODAY())</f>
        <v/>
      </c>
      <c r="G30" s="19"/>
      <c r="H30" s="22" t="str">
        <f aca="false">IF(G30="","",IFERROR(INDEX(Contactos!$C$4:$C$100,MATCH(G30,Contactos!$A$4:$A$100,0)),""))</f>
        <v/>
      </c>
      <c r="I30" s="22" t="str">
        <f aca="false">IF(G30="","",IFERROR(INDEX(Contactos!$D$4:$D$100,MATCH(G30,Contactos!$A$4:$A$100,0)),""))</f>
        <v/>
      </c>
      <c r="J30" s="20"/>
      <c r="K30" s="23"/>
      <c r="L30" s="19"/>
      <c r="M30" s="24"/>
      <c r="N30" s="19"/>
    </row>
    <row r="31" customFormat="false" ht="30" hidden="false" customHeight="true" outlineLevel="0" collapsed="false">
      <c r="A31" s="18" t="str">
        <f aca="false">IF(B31="","",ROW()-4)</f>
        <v/>
      </c>
      <c r="B31" s="19"/>
      <c r="C31" s="19"/>
      <c r="D31" s="19"/>
      <c r="E31" s="20"/>
      <c r="F31" s="21" t="str">
        <f aca="true">IF(OR(E31="",M31="Completada",M31="Cancelada"),"",E31-TODAY())</f>
        <v/>
      </c>
      <c r="G31" s="19"/>
      <c r="H31" s="22" t="str">
        <f aca="false">IF(G31="","",IFERROR(INDEX(Contactos!$C$4:$C$100,MATCH(G31,Contactos!$A$4:$A$100,0)),""))</f>
        <v/>
      </c>
      <c r="I31" s="22" t="str">
        <f aca="false">IF(G31="","",IFERROR(INDEX(Contactos!$D$4:$D$100,MATCH(G31,Contactos!$A$4:$A$100,0)),""))</f>
        <v/>
      </c>
      <c r="J31" s="20"/>
      <c r="K31" s="23"/>
      <c r="L31" s="19"/>
      <c r="M31" s="24"/>
      <c r="N31" s="19"/>
    </row>
    <row r="32" customFormat="false" ht="30" hidden="false" customHeight="true" outlineLevel="0" collapsed="false">
      <c r="A32" s="18" t="str">
        <f aca="false">IF(B32="","",ROW()-4)</f>
        <v/>
      </c>
      <c r="B32" s="19"/>
      <c r="C32" s="19"/>
      <c r="D32" s="19"/>
      <c r="E32" s="20"/>
      <c r="F32" s="21" t="str">
        <f aca="true">IF(OR(E32="",M32="Completada",M32="Cancelada"),"",E32-TODAY())</f>
        <v/>
      </c>
      <c r="G32" s="19"/>
      <c r="H32" s="22" t="str">
        <f aca="false">IF(G32="","",IFERROR(INDEX(Contactos!$C$4:$C$100,MATCH(G32,Contactos!$A$4:$A$100,0)),""))</f>
        <v/>
      </c>
      <c r="I32" s="22" t="str">
        <f aca="false">IF(G32="","",IFERROR(INDEX(Contactos!$D$4:$D$100,MATCH(G32,Contactos!$A$4:$A$100,0)),""))</f>
        <v/>
      </c>
      <c r="J32" s="20"/>
      <c r="K32" s="23"/>
      <c r="L32" s="19"/>
      <c r="M32" s="24"/>
      <c r="N32" s="19"/>
    </row>
    <row r="33" customFormat="false" ht="30" hidden="false" customHeight="true" outlineLevel="0" collapsed="false">
      <c r="A33" s="18" t="str">
        <f aca="false">IF(B33="","",ROW()-4)</f>
        <v/>
      </c>
      <c r="B33" s="19"/>
      <c r="C33" s="19"/>
      <c r="D33" s="19"/>
      <c r="E33" s="20"/>
      <c r="F33" s="21" t="str">
        <f aca="true">IF(OR(E33="",M33="Completada",M33="Cancelada"),"",E33-TODAY())</f>
        <v/>
      </c>
      <c r="G33" s="19"/>
      <c r="H33" s="22" t="str">
        <f aca="false">IF(G33="","",IFERROR(INDEX(Contactos!$C$4:$C$100,MATCH(G33,Contactos!$A$4:$A$100,0)),""))</f>
        <v/>
      </c>
      <c r="I33" s="22" t="str">
        <f aca="false">IF(G33="","",IFERROR(INDEX(Contactos!$D$4:$D$100,MATCH(G33,Contactos!$A$4:$A$100,0)),""))</f>
        <v/>
      </c>
      <c r="J33" s="20"/>
      <c r="K33" s="23"/>
      <c r="L33" s="19"/>
      <c r="M33" s="24"/>
      <c r="N33" s="19"/>
    </row>
    <row r="34" customFormat="false" ht="30" hidden="false" customHeight="true" outlineLevel="0" collapsed="false">
      <c r="A34" s="18" t="str">
        <f aca="false">IF(B34="","",ROW()-4)</f>
        <v/>
      </c>
      <c r="B34" s="19"/>
      <c r="C34" s="19"/>
      <c r="D34" s="19"/>
      <c r="E34" s="20"/>
      <c r="F34" s="21" t="str">
        <f aca="true">IF(OR(E34="",M34="Completada",M34="Cancelada"),"",E34-TODAY())</f>
        <v/>
      </c>
      <c r="G34" s="19"/>
      <c r="H34" s="22" t="str">
        <f aca="false">IF(G34="","",IFERROR(INDEX(Contactos!$C$4:$C$100,MATCH(G34,Contactos!$A$4:$A$100,0)),""))</f>
        <v/>
      </c>
      <c r="I34" s="22" t="str">
        <f aca="false">IF(G34="","",IFERROR(INDEX(Contactos!$D$4:$D$100,MATCH(G34,Contactos!$A$4:$A$100,0)),""))</f>
        <v/>
      </c>
      <c r="J34" s="20"/>
      <c r="K34" s="23"/>
      <c r="L34" s="19"/>
      <c r="M34" s="24"/>
      <c r="N34" s="19"/>
    </row>
    <row r="35" customFormat="false" ht="30" hidden="false" customHeight="true" outlineLevel="0" collapsed="false">
      <c r="A35" s="18" t="str">
        <f aca="false">IF(B35="","",ROW()-4)</f>
        <v/>
      </c>
      <c r="B35" s="19"/>
      <c r="C35" s="19"/>
      <c r="D35" s="19"/>
      <c r="E35" s="20"/>
      <c r="F35" s="21" t="str">
        <f aca="true">IF(OR(E35="",M35="Completada",M35="Cancelada"),"",E35-TODAY())</f>
        <v/>
      </c>
      <c r="G35" s="19"/>
      <c r="H35" s="22" t="str">
        <f aca="false">IF(G35="","",IFERROR(INDEX(Contactos!$C$4:$C$100,MATCH(G35,Contactos!$A$4:$A$100,0)),""))</f>
        <v/>
      </c>
      <c r="I35" s="22" t="str">
        <f aca="false">IF(G35="","",IFERROR(INDEX(Contactos!$D$4:$D$100,MATCH(G35,Contactos!$A$4:$A$100,0)),""))</f>
        <v/>
      </c>
      <c r="J35" s="20"/>
      <c r="K35" s="23"/>
      <c r="L35" s="19"/>
      <c r="M35" s="24"/>
      <c r="N35" s="19"/>
    </row>
    <row r="36" customFormat="false" ht="30" hidden="false" customHeight="true" outlineLevel="0" collapsed="false">
      <c r="A36" s="18" t="str">
        <f aca="false">IF(B36="","",ROW()-4)</f>
        <v/>
      </c>
      <c r="B36" s="19"/>
      <c r="C36" s="19"/>
      <c r="D36" s="19"/>
      <c r="E36" s="20"/>
      <c r="F36" s="21" t="str">
        <f aca="true">IF(OR(E36="",M36="Completada",M36="Cancelada"),"",E36-TODAY())</f>
        <v/>
      </c>
      <c r="G36" s="19"/>
      <c r="H36" s="22" t="str">
        <f aca="false">IF(G36="","",IFERROR(INDEX(Contactos!$C$4:$C$100,MATCH(G36,Contactos!$A$4:$A$100,0)),""))</f>
        <v/>
      </c>
      <c r="I36" s="22" t="str">
        <f aca="false">IF(G36="","",IFERROR(INDEX(Contactos!$D$4:$D$100,MATCH(G36,Contactos!$A$4:$A$100,0)),""))</f>
        <v/>
      </c>
      <c r="J36" s="20"/>
      <c r="K36" s="23"/>
      <c r="L36" s="19"/>
      <c r="M36" s="24"/>
      <c r="N36" s="19"/>
    </row>
    <row r="37" customFormat="false" ht="30" hidden="false" customHeight="true" outlineLevel="0" collapsed="false">
      <c r="A37" s="18" t="str">
        <f aca="false">IF(B37="","",ROW()-4)</f>
        <v/>
      </c>
      <c r="B37" s="19"/>
      <c r="C37" s="19"/>
      <c r="D37" s="19"/>
      <c r="E37" s="20"/>
      <c r="F37" s="21" t="str">
        <f aca="true">IF(OR(E37="",M37="Completada",M37="Cancelada"),"",E37-TODAY())</f>
        <v/>
      </c>
      <c r="G37" s="19"/>
      <c r="H37" s="22" t="str">
        <f aca="false">IF(G37="","",IFERROR(INDEX(Contactos!$C$4:$C$100,MATCH(G37,Contactos!$A$4:$A$100,0)),""))</f>
        <v/>
      </c>
      <c r="I37" s="22" t="str">
        <f aca="false">IF(G37="","",IFERROR(INDEX(Contactos!$D$4:$D$100,MATCH(G37,Contactos!$A$4:$A$100,0)),""))</f>
        <v/>
      </c>
      <c r="J37" s="20"/>
      <c r="K37" s="23"/>
      <c r="L37" s="19"/>
      <c r="M37" s="24"/>
      <c r="N37" s="19"/>
    </row>
    <row r="38" customFormat="false" ht="30" hidden="false" customHeight="true" outlineLevel="0" collapsed="false">
      <c r="A38" s="18" t="str">
        <f aca="false">IF(B38="","",ROW()-4)</f>
        <v/>
      </c>
      <c r="B38" s="19"/>
      <c r="C38" s="19"/>
      <c r="D38" s="19"/>
      <c r="E38" s="20"/>
      <c r="F38" s="21" t="str">
        <f aca="true">IF(OR(E38="",M38="Completada",M38="Cancelada"),"",E38-TODAY())</f>
        <v/>
      </c>
      <c r="G38" s="19"/>
      <c r="H38" s="22" t="str">
        <f aca="false">IF(G38="","",IFERROR(INDEX(Contactos!$C$4:$C$100,MATCH(G38,Contactos!$A$4:$A$100,0)),""))</f>
        <v/>
      </c>
      <c r="I38" s="22" t="str">
        <f aca="false">IF(G38="","",IFERROR(INDEX(Contactos!$D$4:$D$100,MATCH(G38,Contactos!$A$4:$A$100,0)),""))</f>
        <v/>
      </c>
      <c r="J38" s="20"/>
      <c r="K38" s="23"/>
      <c r="L38" s="19"/>
      <c r="M38" s="24"/>
      <c r="N38" s="19"/>
    </row>
    <row r="39" customFormat="false" ht="30" hidden="false" customHeight="true" outlineLevel="0" collapsed="false">
      <c r="A39" s="18" t="str">
        <f aca="false">IF(B39="","",ROW()-4)</f>
        <v/>
      </c>
      <c r="B39" s="19"/>
      <c r="C39" s="19"/>
      <c r="D39" s="19"/>
      <c r="E39" s="20"/>
      <c r="F39" s="21" t="str">
        <f aca="true">IF(OR(E39="",M39="Completada",M39="Cancelada"),"",E39-TODAY())</f>
        <v/>
      </c>
      <c r="G39" s="19"/>
      <c r="H39" s="22" t="str">
        <f aca="false">IF(G39="","",IFERROR(INDEX(Contactos!$C$4:$C$100,MATCH(G39,Contactos!$A$4:$A$100,0)),""))</f>
        <v/>
      </c>
      <c r="I39" s="22" t="str">
        <f aca="false">IF(G39="","",IFERROR(INDEX(Contactos!$D$4:$D$100,MATCH(G39,Contactos!$A$4:$A$100,0)),""))</f>
        <v/>
      </c>
      <c r="J39" s="20"/>
      <c r="K39" s="23"/>
      <c r="L39" s="19"/>
      <c r="M39" s="24"/>
      <c r="N39" s="19"/>
    </row>
    <row r="40" customFormat="false" ht="30" hidden="false" customHeight="true" outlineLevel="0" collapsed="false">
      <c r="A40" s="18" t="str">
        <f aca="false">IF(B40="","",ROW()-4)</f>
        <v/>
      </c>
      <c r="B40" s="19"/>
      <c r="C40" s="19"/>
      <c r="D40" s="19"/>
      <c r="E40" s="20"/>
      <c r="F40" s="21" t="str">
        <f aca="true">IF(OR(E40="",M40="Completada",M40="Cancelada"),"",E40-TODAY())</f>
        <v/>
      </c>
      <c r="G40" s="19"/>
      <c r="H40" s="22" t="str">
        <f aca="false">IF(G40="","",IFERROR(INDEX(Contactos!$C$4:$C$100,MATCH(G40,Contactos!$A$4:$A$100,0)),""))</f>
        <v/>
      </c>
      <c r="I40" s="22" t="str">
        <f aca="false">IF(G40="","",IFERROR(INDEX(Contactos!$D$4:$D$100,MATCH(G40,Contactos!$A$4:$A$100,0)),""))</f>
        <v/>
      </c>
      <c r="J40" s="20"/>
      <c r="K40" s="23"/>
      <c r="L40" s="19"/>
      <c r="M40" s="24"/>
      <c r="N40" s="19"/>
    </row>
    <row r="41" customFormat="false" ht="30" hidden="false" customHeight="true" outlineLevel="0" collapsed="false">
      <c r="A41" s="18" t="str">
        <f aca="false">IF(B41="","",ROW()-4)</f>
        <v/>
      </c>
      <c r="B41" s="19"/>
      <c r="C41" s="19"/>
      <c r="D41" s="19"/>
      <c r="E41" s="20"/>
      <c r="F41" s="21" t="str">
        <f aca="true">IF(OR(E41="",M41="Completada",M41="Cancelada"),"",E41-TODAY())</f>
        <v/>
      </c>
      <c r="G41" s="19"/>
      <c r="H41" s="22" t="str">
        <f aca="false">IF(G41="","",IFERROR(INDEX(Contactos!$C$4:$C$100,MATCH(G41,Contactos!$A$4:$A$100,0)),""))</f>
        <v/>
      </c>
      <c r="I41" s="22" t="str">
        <f aca="false">IF(G41="","",IFERROR(INDEX(Contactos!$D$4:$D$100,MATCH(G41,Contactos!$A$4:$A$100,0)),""))</f>
        <v/>
      </c>
      <c r="J41" s="20"/>
      <c r="K41" s="23"/>
      <c r="L41" s="19"/>
      <c r="M41" s="24"/>
      <c r="N41" s="19"/>
    </row>
    <row r="42" customFormat="false" ht="30" hidden="false" customHeight="true" outlineLevel="0" collapsed="false">
      <c r="A42" s="18" t="str">
        <f aca="false">IF(B42="","",ROW()-4)</f>
        <v/>
      </c>
      <c r="B42" s="19"/>
      <c r="C42" s="19"/>
      <c r="D42" s="19"/>
      <c r="E42" s="20"/>
      <c r="F42" s="21" t="str">
        <f aca="true">IF(OR(E42="",M42="Completada",M42="Cancelada"),"",E42-TODAY())</f>
        <v/>
      </c>
      <c r="G42" s="19"/>
      <c r="H42" s="22" t="str">
        <f aca="false">IF(G42="","",IFERROR(INDEX(Contactos!$C$4:$C$100,MATCH(G42,Contactos!$A$4:$A$100,0)),""))</f>
        <v/>
      </c>
      <c r="I42" s="22" t="str">
        <f aca="false">IF(G42="","",IFERROR(INDEX(Contactos!$D$4:$D$100,MATCH(G42,Contactos!$A$4:$A$100,0)),""))</f>
        <v/>
      </c>
      <c r="J42" s="20"/>
      <c r="K42" s="23"/>
      <c r="L42" s="19"/>
      <c r="M42" s="24"/>
      <c r="N42" s="19"/>
    </row>
    <row r="43" customFormat="false" ht="30" hidden="false" customHeight="true" outlineLevel="0" collapsed="false">
      <c r="A43" s="18" t="str">
        <f aca="false">IF(B43="","",ROW()-4)</f>
        <v/>
      </c>
      <c r="B43" s="19"/>
      <c r="C43" s="19"/>
      <c r="D43" s="19"/>
      <c r="E43" s="20"/>
      <c r="F43" s="21" t="str">
        <f aca="true">IF(OR(E43="",M43="Completada",M43="Cancelada"),"",E43-TODAY())</f>
        <v/>
      </c>
      <c r="G43" s="19"/>
      <c r="H43" s="22" t="str">
        <f aca="false">IF(G43="","",IFERROR(INDEX(Contactos!$C$4:$C$100,MATCH(G43,Contactos!$A$4:$A$100,0)),""))</f>
        <v/>
      </c>
      <c r="I43" s="22" t="str">
        <f aca="false">IF(G43="","",IFERROR(INDEX(Contactos!$D$4:$D$100,MATCH(G43,Contactos!$A$4:$A$100,0)),""))</f>
        <v/>
      </c>
      <c r="J43" s="20"/>
      <c r="K43" s="23"/>
      <c r="L43" s="19"/>
      <c r="M43" s="24"/>
      <c r="N43" s="19"/>
    </row>
    <row r="44" customFormat="false" ht="30" hidden="false" customHeight="true" outlineLevel="0" collapsed="false">
      <c r="A44" s="18" t="str">
        <f aca="false">IF(B44="","",ROW()-4)</f>
        <v/>
      </c>
      <c r="B44" s="19"/>
      <c r="C44" s="19"/>
      <c r="D44" s="19"/>
      <c r="E44" s="20"/>
      <c r="F44" s="21" t="str">
        <f aca="true">IF(OR(E44="",M44="Completada",M44="Cancelada"),"",E44-TODAY())</f>
        <v/>
      </c>
      <c r="G44" s="19"/>
      <c r="H44" s="22" t="str">
        <f aca="false">IF(G44="","",IFERROR(INDEX(Contactos!$C$4:$C$100,MATCH(G44,Contactos!$A$4:$A$100,0)),""))</f>
        <v/>
      </c>
      <c r="I44" s="22" t="str">
        <f aca="false">IF(G44="","",IFERROR(INDEX(Contactos!$D$4:$D$100,MATCH(G44,Contactos!$A$4:$A$100,0)),""))</f>
        <v/>
      </c>
      <c r="J44" s="20"/>
      <c r="K44" s="23"/>
      <c r="L44" s="19"/>
      <c r="M44" s="24"/>
      <c r="N44" s="19"/>
    </row>
    <row r="45" customFormat="false" ht="30" hidden="false" customHeight="true" outlineLevel="0" collapsed="false">
      <c r="A45" s="18" t="str">
        <f aca="false">IF(B45="","",ROW()-4)</f>
        <v/>
      </c>
      <c r="B45" s="19"/>
      <c r="C45" s="19"/>
      <c r="D45" s="19"/>
      <c r="E45" s="20"/>
      <c r="F45" s="21" t="str">
        <f aca="true">IF(OR(E45="",M45="Completada",M45="Cancelada"),"",E45-TODAY())</f>
        <v/>
      </c>
      <c r="G45" s="19"/>
      <c r="H45" s="22" t="str">
        <f aca="false">IF(G45="","",IFERROR(INDEX(Contactos!$C$4:$C$100,MATCH(G45,Contactos!$A$4:$A$100,0)),""))</f>
        <v/>
      </c>
      <c r="I45" s="22" t="str">
        <f aca="false">IF(G45="","",IFERROR(INDEX(Contactos!$D$4:$D$100,MATCH(G45,Contactos!$A$4:$A$100,0)),""))</f>
        <v/>
      </c>
      <c r="J45" s="20"/>
      <c r="K45" s="23"/>
      <c r="L45" s="19"/>
      <c r="M45" s="24"/>
      <c r="N45" s="19"/>
    </row>
    <row r="46" customFormat="false" ht="30" hidden="false" customHeight="true" outlineLevel="0" collapsed="false">
      <c r="A46" s="18" t="str">
        <f aca="false">IF(B46="","",ROW()-4)</f>
        <v/>
      </c>
      <c r="B46" s="19"/>
      <c r="C46" s="19"/>
      <c r="D46" s="19"/>
      <c r="E46" s="20"/>
      <c r="F46" s="21" t="str">
        <f aca="true">IF(OR(E46="",M46="Completada",M46="Cancelada"),"",E46-TODAY())</f>
        <v/>
      </c>
      <c r="G46" s="19"/>
      <c r="H46" s="22" t="str">
        <f aca="false">IF(G46="","",IFERROR(INDEX(Contactos!$C$4:$C$100,MATCH(G46,Contactos!$A$4:$A$100,0)),""))</f>
        <v/>
      </c>
      <c r="I46" s="22" t="str">
        <f aca="false">IF(G46="","",IFERROR(INDEX(Contactos!$D$4:$D$100,MATCH(G46,Contactos!$A$4:$A$100,0)),""))</f>
        <v/>
      </c>
      <c r="J46" s="20"/>
      <c r="K46" s="23"/>
      <c r="L46" s="19"/>
      <c r="M46" s="24"/>
      <c r="N46" s="19"/>
    </row>
    <row r="47" customFormat="false" ht="30" hidden="false" customHeight="true" outlineLevel="0" collapsed="false">
      <c r="A47" s="18" t="str">
        <f aca="false">IF(B47="","",ROW()-4)</f>
        <v/>
      </c>
      <c r="B47" s="19"/>
      <c r="C47" s="19"/>
      <c r="D47" s="19"/>
      <c r="E47" s="20"/>
      <c r="F47" s="21" t="str">
        <f aca="true">IF(OR(E47="",M47="Completada",M47="Cancelada"),"",E47-TODAY())</f>
        <v/>
      </c>
      <c r="G47" s="19"/>
      <c r="H47" s="22" t="str">
        <f aca="false">IF(G47="","",IFERROR(INDEX(Contactos!$C$4:$C$100,MATCH(G47,Contactos!$A$4:$A$100,0)),""))</f>
        <v/>
      </c>
      <c r="I47" s="22" t="str">
        <f aca="false">IF(G47="","",IFERROR(INDEX(Contactos!$D$4:$D$100,MATCH(G47,Contactos!$A$4:$A$100,0)),""))</f>
        <v/>
      </c>
      <c r="J47" s="20"/>
      <c r="K47" s="23"/>
      <c r="L47" s="19"/>
      <c r="M47" s="24"/>
      <c r="N47" s="19"/>
    </row>
    <row r="48" customFormat="false" ht="30" hidden="false" customHeight="true" outlineLevel="0" collapsed="false">
      <c r="A48" s="18" t="str">
        <f aca="false">IF(B48="","",ROW()-4)</f>
        <v/>
      </c>
      <c r="B48" s="19"/>
      <c r="C48" s="19"/>
      <c r="D48" s="19"/>
      <c r="E48" s="20"/>
      <c r="F48" s="21" t="str">
        <f aca="true">IF(OR(E48="",M48="Completada",M48="Cancelada"),"",E48-TODAY())</f>
        <v/>
      </c>
      <c r="G48" s="19"/>
      <c r="H48" s="22" t="str">
        <f aca="false">IF(G48="","",IFERROR(INDEX(Contactos!$C$4:$C$100,MATCH(G48,Contactos!$A$4:$A$100,0)),""))</f>
        <v/>
      </c>
      <c r="I48" s="22" t="str">
        <f aca="false">IF(G48="","",IFERROR(INDEX(Contactos!$D$4:$D$100,MATCH(G48,Contactos!$A$4:$A$100,0)),""))</f>
        <v/>
      </c>
      <c r="J48" s="20"/>
      <c r="K48" s="23"/>
      <c r="L48" s="19"/>
      <c r="M48" s="24"/>
      <c r="N48" s="19"/>
    </row>
    <row r="49" customFormat="false" ht="30" hidden="false" customHeight="true" outlineLevel="0" collapsed="false">
      <c r="A49" s="18" t="str">
        <f aca="false">IF(B49="","",ROW()-4)</f>
        <v/>
      </c>
      <c r="B49" s="19"/>
      <c r="C49" s="19"/>
      <c r="D49" s="19"/>
      <c r="E49" s="20"/>
      <c r="F49" s="21" t="str">
        <f aca="true">IF(OR(E49="",M49="Completada",M49="Cancelada"),"",E49-TODAY())</f>
        <v/>
      </c>
      <c r="G49" s="19"/>
      <c r="H49" s="22" t="str">
        <f aca="false">IF(G49="","",IFERROR(INDEX(Contactos!$C$4:$C$100,MATCH(G49,Contactos!$A$4:$A$100,0)),""))</f>
        <v/>
      </c>
      <c r="I49" s="22" t="str">
        <f aca="false">IF(G49="","",IFERROR(INDEX(Contactos!$D$4:$D$100,MATCH(G49,Contactos!$A$4:$A$100,0)),""))</f>
        <v/>
      </c>
      <c r="J49" s="20"/>
      <c r="K49" s="23"/>
      <c r="L49" s="19"/>
      <c r="M49" s="24"/>
      <c r="N49" s="19"/>
    </row>
    <row r="50" customFormat="false" ht="30" hidden="false" customHeight="true" outlineLevel="0" collapsed="false">
      <c r="A50" s="18" t="str">
        <f aca="false">IF(B50="","",ROW()-4)</f>
        <v/>
      </c>
      <c r="B50" s="19"/>
      <c r="C50" s="19"/>
      <c r="D50" s="19"/>
      <c r="E50" s="20"/>
      <c r="F50" s="21" t="str">
        <f aca="true">IF(OR(E50="",M50="Completada",M50="Cancelada"),"",E50-TODAY())</f>
        <v/>
      </c>
      <c r="G50" s="19"/>
      <c r="H50" s="22" t="str">
        <f aca="false">IF(G50="","",IFERROR(INDEX(Contactos!$C$4:$C$100,MATCH(G50,Contactos!$A$4:$A$100,0)),""))</f>
        <v/>
      </c>
      <c r="I50" s="22" t="str">
        <f aca="false">IF(G50="","",IFERROR(INDEX(Contactos!$D$4:$D$100,MATCH(G50,Contactos!$A$4:$A$100,0)),""))</f>
        <v/>
      </c>
      <c r="J50" s="20"/>
      <c r="K50" s="23"/>
      <c r="L50" s="19"/>
      <c r="M50" s="24"/>
      <c r="N50" s="19"/>
    </row>
    <row r="51" customFormat="false" ht="30" hidden="false" customHeight="true" outlineLevel="0" collapsed="false">
      <c r="A51" s="18" t="str">
        <f aca="false">IF(B51="","",ROW()-4)</f>
        <v/>
      </c>
      <c r="B51" s="19"/>
      <c r="C51" s="19"/>
      <c r="D51" s="19"/>
      <c r="E51" s="20"/>
      <c r="F51" s="21" t="str">
        <f aca="true">IF(OR(E51="",M51="Completada",M51="Cancelada"),"",E51-TODAY())</f>
        <v/>
      </c>
      <c r="G51" s="19"/>
      <c r="H51" s="22" t="str">
        <f aca="false">IF(G51="","",IFERROR(INDEX(Contactos!$C$4:$C$100,MATCH(G51,Contactos!$A$4:$A$100,0)),""))</f>
        <v/>
      </c>
      <c r="I51" s="22" t="str">
        <f aca="false">IF(G51="","",IFERROR(INDEX(Contactos!$D$4:$D$100,MATCH(G51,Contactos!$A$4:$A$100,0)),""))</f>
        <v/>
      </c>
      <c r="J51" s="20"/>
      <c r="K51" s="23"/>
      <c r="L51" s="19"/>
      <c r="M51" s="24"/>
      <c r="N51" s="19"/>
    </row>
    <row r="52" customFormat="false" ht="30" hidden="false" customHeight="true" outlineLevel="0" collapsed="false">
      <c r="A52" s="18" t="str">
        <f aca="false">IF(B52="","",ROW()-4)</f>
        <v/>
      </c>
      <c r="B52" s="19"/>
      <c r="C52" s="19"/>
      <c r="D52" s="19"/>
      <c r="E52" s="20"/>
      <c r="F52" s="21" t="str">
        <f aca="true">IF(OR(E52="",M52="Completada",M52="Cancelada"),"",E52-TODAY())</f>
        <v/>
      </c>
      <c r="G52" s="19"/>
      <c r="H52" s="22" t="str">
        <f aca="false">IF(G52="","",IFERROR(INDEX(Contactos!$C$4:$C$100,MATCH(G52,Contactos!$A$4:$A$100,0)),""))</f>
        <v/>
      </c>
      <c r="I52" s="22" t="str">
        <f aca="false">IF(G52="","",IFERROR(INDEX(Contactos!$D$4:$D$100,MATCH(G52,Contactos!$A$4:$A$100,0)),""))</f>
        <v/>
      </c>
      <c r="J52" s="20"/>
      <c r="K52" s="23"/>
      <c r="L52" s="19"/>
      <c r="M52" s="24"/>
      <c r="N52" s="19"/>
    </row>
    <row r="53" customFormat="false" ht="30" hidden="false" customHeight="true" outlineLevel="0" collapsed="false">
      <c r="A53" s="18" t="str">
        <f aca="false">IF(B53="","",ROW()-4)</f>
        <v/>
      </c>
      <c r="B53" s="19"/>
      <c r="C53" s="19"/>
      <c r="D53" s="19"/>
      <c r="E53" s="20"/>
      <c r="F53" s="21" t="str">
        <f aca="true">IF(OR(E53="",M53="Completada",M53="Cancelada"),"",E53-TODAY())</f>
        <v/>
      </c>
      <c r="G53" s="19"/>
      <c r="H53" s="22" t="str">
        <f aca="false">IF(G53="","",IFERROR(INDEX(Contactos!$C$4:$C$100,MATCH(G53,Contactos!$A$4:$A$100,0)),""))</f>
        <v/>
      </c>
      <c r="I53" s="22" t="str">
        <f aca="false">IF(G53="","",IFERROR(INDEX(Contactos!$D$4:$D$100,MATCH(G53,Contactos!$A$4:$A$100,0)),""))</f>
        <v/>
      </c>
      <c r="J53" s="20"/>
      <c r="K53" s="23"/>
      <c r="L53" s="19"/>
      <c r="M53" s="24"/>
      <c r="N53" s="19"/>
    </row>
    <row r="54" customFormat="false" ht="30" hidden="false" customHeight="true" outlineLevel="0" collapsed="false">
      <c r="A54" s="18" t="str">
        <f aca="false">IF(B54="","",ROW()-4)</f>
        <v/>
      </c>
      <c r="B54" s="19"/>
      <c r="C54" s="19"/>
      <c r="D54" s="19"/>
      <c r="E54" s="20"/>
      <c r="F54" s="21" t="str">
        <f aca="true">IF(OR(E54="",M54="Completada",M54="Cancelada"),"",E54-TODAY())</f>
        <v/>
      </c>
      <c r="G54" s="19"/>
      <c r="H54" s="22" t="str">
        <f aca="false">IF(G54="","",IFERROR(INDEX(Contactos!$C$4:$C$100,MATCH(G54,Contactos!$A$4:$A$100,0)),""))</f>
        <v/>
      </c>
      <c r="I54" s="22" t="str">
        <f aca="false">IF(G54="","",IFERROR(INDEX(Contactos!$D$4:$D$100,MATCH(G54,Contactos!$A$4:$A$100,0)),""))</f>
        <v/>
      </c>
      <c r="J54" s="20"/>
      <c r="K54" s="23"/>
      <c r="L54" s="19"/>
      <c r="M54" s="24"/>
      <c r="N54" s="19"/>
    </row>
    <row r="55" customFormat="false" ht="30" hidden="false" customHeight="true" outlineLevel="0" collapsed="false">
      <c r="A55" s="18" t="str">
        <f aca="false">IF(B55="","",ROW()-4)</f>
        <v/>
      </c>
      <c r="B55" s="19"/>
      <c r="C55" s="19"/>
      <c r="D55" s="19"/>
      <c r="E55" s="20"/>
      <c r="F55" s="21" t="str">
        <f aca="true">IF(OR(E55="",M55="Completada",M55="Cancelada"),"",E55-TODAY())</f>
        <v/>
      </c>
      <c r="G55" s="19"/>
      <c r="H55" s="22" t="str">
        <f aca="false">IF(G55="","",IFERROR(INDEX(Contactos!$C$4:$C$100,MATCH(G55,Contactos!$A$4:$A$100,0)),""))</f>
        <v/>
      </c>
      <c r="I55" s="22" t="str">
        <f aca="false">IF(G55="","",IFERROR(INDEX(Contactos!$D$4:$D$100,MATCH(G55,Contactos!$A$4:$A$100,0)),""))</f>
        <v/>
      </c>
      <c r="J55" s="20"/>
      <c r="K55" s="23"/>
      <c r="L55" s="19"/>
      <c r="M55" s="24"/>
      <c r="N55" s="19"/>
    </row>
    <row r="56" customFormat="false" ht="30" hidden="false" customHeight="true" outlineLevel="0" collapsed="false">
      <c r="A56" s="18" t="str">
        <f aca="false">IF(B56="","",ROW()-4)</f>
        <v/>
      </c>
      <c r="B56" s="19"/>
      <c r="C56" s="19"/>
      <c r="D56" s="19"/>
      <c r="E56" s="20"/>
      <c r="F56" s="21" t="str">
        <f aca="true">IF(OR(E56="",M56="Completada",M56="Cancelada"),"",E56-TODAY())</f>
        <v/>
      </c>
      <c r="G56" s="19"/>
      <c r="H56" s="22" t="str">
        <f aca="false">IF(G56="","",IFERROR(INDEX(Contactos!$C$4:$C$100,MATCH(G56,Contactos!$A$4:$A$100,0)),""))</f>
        <v/>
      </c>
      <c r="I56" s="22" t="str">
        <f aca="false">IF(G56="","",IFERROR(INDEX(Contactos!$D$4:$D$100,MATCH(G56,Contactos!$A$4:$A$100,0)),""))</f>
        <v/>
      </c>
      <c r="J56" s="20"/>
      <c r="K56" s="23"/>
      <c r="L56" s="19"/>
      <c r="M56" s="24"/>
      <c r="N56" s="19"/>
    </row>
    <row r="57" customFormat="false" ht="30" hidden="false" customHeight="true" outlineLevel="0" collapsed="false">
      <c r="A57" s="18" t="str">
        <f aca="false">IF(B57="","",ROW()-4)</f>
        <v/>
      </c>
      <c r="B57" s="19"/>
      <c r="C57" s="19"/>
      <c r="D57" s="19"/>
      <c r="E57" s="20"/>
      <c r="F57" s="21" t="str">
        <f aca="true">IF(OR(E57="",M57="Completada",M57="Cancelada"),"",E57-TODAY())</f>
        <v/>
      </c>
      <c r="G57" s="19"/>
      <c r="H57" s="22" t="str">
        <f aca="false">IF(G57="","",IFERROR(INDEX(Contactos!$C$4:$C$100,MATCH(G57,Contactos!$A$4:$A$100,0)),""))</f>
        <v/>
      </c>
      <c r="I57" s="22" t="str">
        <f aca="false">IF(G57="","",IFERROR(INDEX(Contactos!$D$4:$D$100,MATCH(G57,Contactos!$A$4:$A$100,0)),""))</f>
        <v/>
      </c>
      <c r="J57" s="20"/>
      <c r="K57" s="23"/>
      <c r="L57" s="19"/>
      <c r="M57" s="24"/>
      <c r="N57" s="19"/>
    </row>
    <row r="58" customFormat="false" ht="30" hidden="false" customHeight="true" outlineLevel="0" collapsed="false">
      <c r="A58" s="18" t="str">
        <f aca="false">IF(B58="","",ROW()-4)</f>
        <v/>
      </c>
      <c r="B58" s="19"/>
      <c r="C58" s="19"/>
      <c r="D58" s="19"/>
      <c r="E58" s="20"/>
      <c r="F58" s="21" t="str">
        <f aca="true">IF(OR(E58="",M58="Completada",M58="Cancelada"),"",E58-TODAY())</f>
        <v/>
      </c>
      <c r="G58" s="19"/>
      <c r="H58" s="22" t="str">
        <f aca="false">IF(G58="","",IFERROR(INDEX(Contactos!$C$4:$C$100,MATCH(G58,Contactos!$A$4:$A$100,0)),""))</f>
        <v/>
      </c>
      <c r="I58" s="22" t="str">
        <f aca="false">IF(G58="","",IFERROR(INDEX(Contactos!$D$4:$D$100,MATCH(G58,Contactos!$A$4:$A$100,0)),""))</f>
        <v/>
      </c>
      <c r="J58" s="20"/>
      <c r="K58" s="23"/>
      <c r="L58" s="19"/>
      <c r="M58" s="24"/>
      <c r="N58" s="19"/>
    </row>
    <row r="59" customFormat="false" ht="30" hidden="false" customHeight="true" outlineLevel="0" collapsed="false">
      <c r="A59" s="18" t="str">
        <f aca="false">IF(B59="","",ROW()-4)</f>
        <v/>
      </c>
      <c r="B59" s="19"/>
      <c r="C59" s="19"/>
      <c r="D59" s="19"/>
      <c r="E59" s="20"/>
      <c r="F59" s="21" t="str">
        <f aca="true">IF(OR(E59="",M59="Completada",M59="Cancelada"),"",E59-TODAY())</f>
        <v/>
      </c>
      <c r="G59" s="19"/>
      <c r="H59" s="22" t="str">
        <f aca="false">IF(G59="","",IFERROR(INDEX(Contactos!$C$4:$C$100,MATCH(G59,Contactos!$A$4:$A$100,0)),""))</f>
        <v/>
      </c>
      <c r="I59" s="22" t="str">
        <f aca="false">IF(G59="","",IFERROR(INDEX(Contactos!$D$4:$D$100,MATCH(G59,Contactos!$A$4:$A$100,0)),""))</f>
        <v/>
      </c>
      <c r="J59" s="20"/>
      <c r="K59" s="23"/>
      <c r="L59" s="19"/>
      <c r="M59" s="24"/>
      <c r="N59" s="19"/>
    </row>
    <row r="60" customFormat="false" ht="30" hidden="false" customHeight="true" outlineLevel="0" collapsed="false">
      <c r="A60" s="18" t="str">
        <f aca="false">IF(B60="","",ROW()-4)</f>
        <v/>
      </c>
      <c r="B60" s="19"/>
      <c r="C60" s="19"/>
      <c r="D60" s="19"/>
      <c r="E60" s="20"/>
      <c r="F60" s="21" t="str">
        <f aca="true">IF(OR(E60="",M60="Completada",M60="Cancelada"),"",E60-TODAY())</f>
        <v/>
      </c>
      <c r="G60" s="19"/>
      <c r="H60" s="22" t="str">
        <f aca="false">IF(G60="","",IFERROR(INDEX(Contactos!$C$4:$C$100,MATCH(G60,Contactos!$A$4:$A$100,0)),""))</f>
        <v/>
      </c>
      <c r="I60" s="22" t="str">
        <f aca="false">IF(G60="","",IFERROR(INDEX(Contactos!$D$4:$D$100,MATCH(G60,Contactos!$A$4:$A$100,0)),""))</f>
        <v/>
      </c>
      <c r="J60" s="20"/>
      <c r="K60" s="23"/>
      <c r="L60" s="19"/>
      <c r="M60" s="24"/>
      <c r="N60" s="19"/>
    </row>
    <row r="61" customFormat="false" ht="30" hidden="false" customHeight="true" outlineLevel="0" collapsed="false">
      <c r="A61" s="18" t="str">
        <f aca="false">IF(B61="","",ROW()-4)</f>
        <v/>
      </c>
      <c r="B61" s="19"/>
      <c r="C61" s="19"/>
      <c r="D61" s="19"/>
      <c r="E61" s="20"/>
      <c r="F61" s="21" t="str">
        <f aca="true">IF(OR(E61="",M61="Completada",M61="Cancelada"),"",E61-TODAY())</f>
        <v/>
      </c>
      <c r="G61" s="19"/>
      <c r="H61" s="22" t="str">
        <f aca="false">IF(G61="","",IFERROR(INDEX(Contactos!$C$4:$C$100,MATCH(G61,Contactos!$A$4:$A$100,0)),""))</f>
        <v/>
      </c>
      <c r="I61" s="22" t="str">
        <f aca="false">IF(G61="","",IFERROR(INDEX(Contactos!$D$4:$D$100,MATCH(G61,Contactos!$A$4:$A$100,0)),""))</f>
        <v/>
      </c>
      <c r="J61" s="20"/>
      <c r="K61" s="23"/>
      <c r="L61" s="19"/>
      <c r="M61" s="24"/>
      <c r="N61" s="19"/>
    </row>
    <row r="62" customFormat="false" ht="30" hidden="false" customHeight="true" outlineLevel="0" collapsed="false">
      <c r="A62" s="18" t="str">
        <f aca="false">IF(B62="","",ROW()-4)</f>
        <v/>
      </c>
      <c r="B62" s="19"/>
      <c r="C62" s="19"/>
      <c r="D62" s="19"/>
      <c r="E62" s="20"/>
      <c r="F62" s="21" t="str">
        <f aca="true">IF(OR(E62="",M62="Completada",M62="Cancelada"),"",E62-TODAY())</f>
        <v/>
      </c>
      <c r="G62" s="19"/>
      <c r="H62" s="22" t="str">
        <f aca="false">IF(G62="","",IFERROR(INDEX(Contactos!$C$4:$C$100,MATCH(G62,Contactos!$A$4:$A$100,0)),""))</f>
        <v/>
      </c>
      <c r="I62" s="22" t="str">
        <f aca="false">IF(G62="","",IFERROR(INDEX(Contactos!$D$4:$D$100,MATCH(G62,Contactos!$A$4:$A$100,0)),""))</f>
        <v/>
      </c>
      <c r="J62" s="20"/>
      <c r="K62" s="23"/>
      <c r="L62" s="19"/>
      <c r="M62" s="24"/>
      <c r="N62" s="19"/>
    </row>
    <row r="63" customFormat="false" ht="30" hidden="false" customHeight="true" outlineLevel="0" collapsed="false">
      <c r="A63" s="18" t="str">
        <f aca="false">IF(B63="","",ROW()-4)</f>
        <v/>
      </c>
      <c r="B63" s="19"/>
      <c r="C63" s="19"/>
      <c r="D63" s="19"/>
      <c r="E63" s="20"/>
      <c r="F63" s="21" t="str">
        <f aca="true">IF(OR(E63="",M63="Completada",M63="Cancelada"),"",E63-TODAY())</f>
        <v/>
      </c>
      <c r="G63" s="19"/>
      <c r="H63" s="22" t="str">
        <f aca="false">IF(G63="","",IFERROR(INDEX(Contactos!$C$4:$C$100,MATCH(G63,Contactos!$A$4:$A$100,0)),""))</f>
        <v/>
      </c>
      <c r="I63" s="22" t="str">
        <f aca="false">IF(G63="","",IFERROR(INDEX(Contactos!$D$4:$D$100,MATCH(G63,Contactos!$A$4:$A$100,0)),""))</f>
        <v/>
      </c>
      <c r="J63" s="20"/>
      <c r="K63" s="23"/>
      <c r="L63" s="19"/>
      <c r="M63" s="24"/>
      <c r="N63" s="19"/>
    </row>
    <row r="64" customFormat="false" ht="30" hidden="false" customHeight="true" outlineLevel="0" collapsed="false">
      <c r="A64" s="18" t="str">
        <f aca="false">IF(B64="","",ROW()-4)</f>
        <v/>
      </c>
      <c r="B64" s="19"/>
      <c r="C64" s="19"/>
      <c r="D64" s="19"/>
      <c r="E64" s="20"/>
      <c r="F64" s="21" t="str">
        <f aca="true">IF(OR(E64="",M64="Completada",M64="Cancelada"),"",E64-TODAY())</f>
        <v/>
      </c>
      <c r="G64" s="19"/>
      <c r="H64" s="22" t="str">
        <f aca="false">IF(G64="","",IFERROR(INDEX(Contactos!$C$4:$C$100,MATCH(G64,Contactos!$A$4:$A$100,0)),""))</f>
        <v/>
      </c>
      <c r="I64" s="22" t="str">
        <f aca="false">IF(G64="","",IFERROR(INDEX(Contactos!$D$4:$D$100,MATCH(G64,Contactos!$A$4:$A$100,0)),""))</f>
        <v/>
      </c>
      <c r="J64" s="20"/>
      <c r="K64" s="23"/>
      <c r="L64" s="19"/>
      <c r="M64" s="24"/>
      <c r="N64" s="19"/>
    </row>
    <row r="65" customFormat="false" ht="30" hidden="false" customHeight="true" outlineLevel="0" collapsed="false">
      <c r="A65" s="18" t="str">
        <f aca="false">IF(B65="","",ROW()-4)</f>
        <v/>
      </c>
      <c r="B65" s="19"/>
      <c r="C65" s="19"/>
      <c r="D65" s="19"/>
      <c r="E65" s="20"/>
      <c r="F65" s="21" t="str">
        <f aca="true">IF(OR(E65="",M65="Completada",M65="Cancelada"),"",E65-TODAY())</f>
        <v/>
      </c>
      <c r="G65" s="19"/>
      <c r="H65" s="22" t="str">
        <f aca="false">IF(G65="","",IFERROR(INDEX(Contactos!$C$4:$C$100,MATCH(G65,Contactos!$A$4:$A$100,0)),""))</f>
        <v/>
      </c>
      <c r="I65" s="22" t="str">
        <f aca="false">IF(G65="","",IFERROR(INDEX(Contactos!$D$4:$D$100,MATCH(G65,Contactos!$A$4:$A$100,0)),""))</f>
        <v/>
      </c>
      <c r="J65" s="20"/>
      <c r="K65" s="23"/>
      <c r="L65" s="19"/>
      <c r="M65" s="24"/>
      <c r="N65" s="19"/>
    </row>
    <row r="66" customFormat="false" ht="30" hidden="false" customHeight="true" outlineLevel="0" collapsed="false">
      <c r="A66" s="18" t="str">
        <f aca="false">IF(B66="","",ROW()-4)</f>
        <v/>
      </c>
      <c r="B66" s="19"/>
      <c r="C66" s="19"/>
      <c r="D66" s="19"/>
      <c r="E66" s="20"/>
      <c r="F66" s="21" t="str">
        <f aca="true">IF(OR(E66="",M66="Completada",M66="Cancelada"),"",E66-TODAY())</f>
        <v/>
      </c>
      <c r="G66" s="19"/>
      <c r="H66" s="22" t="str">
        <f aca="false">IF(G66="","",IFERROR(INDEX(Contactos!$C$4:$C$100,MATCH(G66,Contactos!$A$4:$A$100,0)),""))</f>
        <v/>
      </c>
      <c r="I66" s="22" t="str">
        <f aca="false">IF(G66="","",IFERROR(INDEX(Contactos!$D$4:$D$100,MATCH(G66,Contactos!$A$4:$A$100,0)),""))</f>
        <v/>
      </c>
      <c r="J66" s="20"/>
      <c r="K66" s="23"/>
      <c r="L66" s="19"/>
      <c r="M66" s="24"/>
      <c r="N66" s="19"/>
    </row>
    <row r="67" customFormat="false" ht="30" hidden="false" customHeight="true" outlineLevel="0" collapsed="false">
      <c r="A67" s="18" t="str">
        <f aca="false">IF(B67="","",ROW()-4)</f>
        <v/>
      </c>
      <c r="B67" s="19"/>
      <c r="C67" s="19"/>
      <c r="D67" s="19"/>
      <c r="E67" s="20"/>
      <c r="F67" s="21" t="str">
        <f aca="true">IF(OR(E67="",M67="Completada",M67="Cancelada"),"",E67-TODAY())</f>
        <v/>
      </c>
      <c r="G67" s="19"/>
      <c r="H67" s="22" t="str">
        <f aca="false">IF(G67="","",IFERROR(INDEX(Contactos!$C$4:$C$100,MATCH(G67,Contactos!$A$4:$A$100,0)),""))</f>
        <v/>
      </c>
      <c r="I67" s="22" t="str">
        <f aca="false">IF(G67="","",IFERROR(INDEX(Contactos!$D$4:$D$100,MATCH(G67,Contactos!$A$4:$A$100,0)),""))</f>
        <v/>
      </c>
      <c r="J67" s="20"/>
      <c r="K67" s="23"/>
      <c r="L67" s="19"/>
      <c r="M67" s="24"/>
      <c r="N67" s="19"/>
    </row>
    <row r="68" customFormat="false" ht="30" hidden="false" customHeight="true" outlineLevel="0" collapsed="false">
      <c r="A68" s="18" t="str">
        <f aca="false">IF(B68="","",ROW()-4)</f>
        <v/>
      </c>
      <c r="B68" s="19"/>
      <c r="C68" s="19"/>
      <c r="D68" s="19"/>
      <c r="E68" s="20"/>
      <c r="F68" s="21" t="str">
        <f aca="true">IF(OR(E68="",M68="Completada",M68="Cancelada"),"",E68-TODAY())</f>
        <v/>
      </c>
      <c r="G68" s="19"/>
      <c r="H68" s="22" t="str">
        <f aca="false">IF(G68="","",IFERROR(INDEX(Contactos!$C$4:$C$100,MATCH(G68,Contactos!$A$4:$A$100,0)),""))</f>
        <v/>
      </c>
      <c r="I68" s="22" t="str">
        <f aca="false">IF(G68="","",IFERROR(INDEX(Contactos!$D$4:$D$100,MATCH(G68,Contactos!$A$4:$A$100,0)),""))</f>
        <v/>
      </c>
      <c r="J68" s="20"/>
      <c r="K68" s="23"/>
      <c r="L68" s="19"/>
      <c r="M68" s="24"/>
      <c r="N68" s="19"/>
    </row>
    <row r="69" customFormat="false" ht="30" hidden="false" customHeight="true" outlineLevel="0" collapsed="false">
      <c r="A69" s="18" t="str">
        <f aca="false">IF(B69="","",ROW()-4)</f>
        <v/>
      </c>
      <c r="B69" s="19"/>
      <c r="C69" s="19"/>
      <c r="D69" s="19"/>
      <c r="E69" s="20"/>
      <c r="F69" s="21" t="str">
        <f aca="true">IF(OR(E69="",M69="Completada",M69="Cancelada"),"",E69-TODAY())</f>
        <v/>
      </c>
      <c r="G69" s="19"/>
      <c r="H69" s="22" t="str">
        <f aca="false">IF(G69="","",IFERROR(INDEX(Contactos!$C$4:$C$100,MATCH(G69,Contactos!$A$4:$A$100,0)),""))</f>
        <v/>
      </c>
      <c r="I69" s="22" t="str">
        <f aca="false">IF(G69="","",IFERROR(INDEX(Contactos!$D$4:$D$100,MATCH(G69,Contactos!$A$4:$A$100,0)),""))</f>
        <v/>
      </c>
      <c r="J69" s="20"/>
      <c r="K69" s="23"/>
      <c r="L69" s="19"/>
      <c r="M69" s="24"/>
      <c r="N69" s="19"/>
    </row>
    <row r="70" customFormat="false" ht="30" hidden="false" customHeight="true" outlineLevel="0" collapsed="false">
      <c r="A70" s="18" t="str">
        <f aca="false">IF(B70="","",ROW()-4)</f>
        <v/>
      </c>
      <c r="B70" s="19"/>
      <c r="C70" s="19"/>
      <c r="D70" s="19"/>
      <c r="E70" s="20"/>
      <c r="F70" s="21" t="str">
        <f aca="true">IF(OR(E70="",M70="Completada",M70="Cancelada"),"",E70-TODAY())</f>
        <v/>
      </c>
      <c r="G70" s="19"/>
      <c r="H70" s="22" t="str">
        <f aca="false">IF(G70="","",IFERROR(INDEX(Contactos!$C$4:$C$100,MATCH(G70,Contactos!$A$4:$A$100,0)),""))</f>
        <v/>
      </c>
      <c r="I70" s="22" t="str">
        <f aca="false">IF(G70="","",IFERROR(INDEX(Contactos!$D$4:$D$100,MATCH(G70,Contactos!$A$4:$A$100,0)),""))</f>
        <v/>
      </c>
      <c r="J70" s="20"/>
      <c r="K70" s="23"/>
      <c r="L70" s="19"/>
      <c r="M70" s="24"/>
      <c r="N70" s="19"/>
    </row>
    <row r="71" customFormat="false" ht="30" hidden="false" customHeight="true" outlineLevel="0" collapsed="false">
      <c r="A71" s="18" t="str">
        <f aca="false">IF(B71="","",ROW()-4)</f>
        <v/>
      </c>
      <c r="B71" s="19"/>
      <c r="C71" s="19"/>
      <c r="D71" s="19"/>
      <c r="E71" s="20"/>
      <c r="F71" s="21" t="str">
        <f aca="true">IF(OR(E71="",M71="Completada",M71="Cancelada"),"",E71-TODAY())</f>
        <v/>
      </c>
      <c r="G71" s="19"/>
      <c r="H71" s="22" t="str">
        <f aca="false">IF(G71="","",IFERROR(INDEX(Contactos!$C$4:$C$100,MATCH(G71,Contactos!$A$4:$A$100,0)),""))</f>
        <v/>
      </c>
      <c r="I71" s="22" t="str">
        <f aca="false">IF(G71="","",IFERROR(INDEX(Contactos!$D$4:$D$100,MATCH(G71,Contactos!$A$4:$A$100,0)),""))</f>
        <v/>
      </c>
      <c r="J71" s="20"/>
      <c r="K71" s="23"/>
      <c r="L71" s="19"/>
      <c r="M71" s="24"/>
      <c r="N71" s="19"/>
    </row>
    <row r="72" customFormat="false" ht="30" hidden="false" customHeight="true" outlineLevel="0" collapsed="false">
      <c r="A72" s="18" t="str">
        <f aca="false">IF(B72="","",ROW()-4)</f>
        <v/>
      </c>
      <c r="B72" s="19"/>
      <c r="C72" s="19"/>
      <c r="D72" s="19"/>
      <c r="E72" s="20"/>
      <c r="F72" s="21" t="str">
        <f aca="true">IF(OR(E72="",M72="Completada",M72="Cancelada"),"",E72-TODAY())</f>
        <v/>
      </c>
      <c r="G72" s="19"/>
      <c r="H72" s="22" t="str">
        <f aca="false">IF(G72="","",IFERROR(INDEX(Contactos!$C$4:$C$100,MATCH(G72,Contactos!$A$4:$A$100,0)),""))</f>
        <v/>
      </c>
      <c r="I72" s="22" t="str">
        <f aca="false">IF(G72="","",IFERROR(INDEX(Contactos!$D$4:$D$100,MATCH(G72,Contactos!$A$4:$A$100,0)),""))</f>
        <v/>
      </c>
      <c r="J72" s="20"/>
      <c r="K72" s="23"/>
      <c r="L72" s="19"/>
      <c r="M72" s="24"/>
      <c r="N72" s="19"/>
    </row>
    <row r="73" customFormat="false" ht="30" hidden="false" customHeight="true" outlineLevel="0" collapsed="false">
      <c r="A73" s="18" t="str">
        <f aca="false">IF(B73="","",ROW()-4)</f>
        <v/>
      </c>
      <c r="B73" s="19"/>
      <c r="C73" s="19"/>
      <c r="D73" s="19"/>
      <c r="E73" s="20"/>
      <c r="F73" s="21" t="str">
        <f aca="true">IF(OR(E73="",M73="Completada",M73="Cancelada"),"",E73-TODAY())</f>
        <v/>
      </c>
      <c r="G73" s="19"/>
      <c r="H73" s="22" t="str">
        <f aca="false">IF(G73="","",IFERROR(INDEX(Contactos!$C$4:$C$100,MATCH(G73,Contactos!$A$4:$A$100,0)),""))</f>
        <v/>
      </c>
      <c r="I73" s="22" t="str">
        <f aca="false">IF(G73="","",IFERROR(INDEX(Contactos!$D$4:$D$100,MATCH(G73,Contactos!$A$4:$A$100,0)),""))</f>
        <v/>
      </c>
      <c r="J73" s="20"/>
      <c r="K73" s="23"/>
      <c r="L73" s="19"/>
      <c r="M73" s="24"/>
      <c r="N73" s="19"/>
    </row>
    <row r="74" customFormat="false" ht="30" hidden="false" customHeight="true" outlineLevel="0" collapsed="false">
      <c r="A74" s="18" t="str">
        <f aca="false">IF(B74="","",ROW()-4)</f>
        <v/>
      </c>
      <c r="B74" s="19"/>
      <c r="C74" s="19"/>
      <c r="D74" s="19"/>
      <c r="E74" s="20"/>
      <c r="F74" s="21" t="str">
        <f aca="true">IF(OR(E74="",M74="Completada",M74="Cancelada"),"",E74-TODAY())</f>
        <v/>
      </c>
      <c r="G74" s="19"/>
      <c r="H74" s="22" t="str">
        <f aca="false">IF(G74="","",IFERROR(INDEX(Contactos!$C$4:$C$100,MATCH(G74,Contactos!$A$4:$A$100,0)),""))</f>
        <v/>
      </c>
      <c r="I74" s="22" t="str">
        <f aca="false">IF(G74="","",IFERROR(INDEX(Contactos!$D$4:$D$100,MATCH(G74,Contactos!$A$4:$A$100,0)),""))</f>
        <v/>
      </c>
      <c r="J74" s="20"/>
      <c r="K74" s="23"/>
      <c r="L74" s="19"/>
      <c r="M74" s="24"/>
      <c r="N74" s="19"/>
    </row>
    <row r="75" customFormat="false" ht="30" hidden="false" customHeight="true" outlineLevel="0" collapsed="false">
      <c r="A75" s="18" t="str">
        <f aca="false">IF(B75="","",ROW()-4)</f>
        <v/>
      </c>
      <c r="B75" s="19"/>
      <c r="C75" s="19"/>
      <c r="D75" s="19"/>
      <c r="E75" s="20"/>
      <c r="F75" s="21" t="str">
        <f aca="true">IF(OR(E75="",M75="Completada",M75="Cancelada"),"",E75-TODAY())</f>
        <v/>
      </c>
      <c r="G75" s="19"/>
      <c r="H75" s="22" t="str">
        <f aca="false">IF(G75="","",IFERROR(INDEX(Contactos!$C$4:$C$100,MATCH(G75,Contactos!$A$4:$A$100,0)),""))</f>
        <v/>
      </c>
      <c r="I75" s="22" t="str">
        <f aca="false">IF(G75="","",IFERROR(INDEX(Contactos!$D$4:$D$100,MATCH(G75,Contactos!$A$4:$A$100,0)),""))</f>
        <v/>
      </c>
      <c r="J75" s="20"/>
      <c r="K75" s="23"/>
      <c r="L75" s="19"/>
      <c r="M75" s="24"/>
      <c r="N75" s="19"/>
    </row>
    <row r="76" customFormat="false" ht="30" hidden="false" customHeight="true" outlineLevel="0" collapsed="false">
      <c r="A76" s="18" t="str">
        <f aca="false">IF(B76="","",ROW()-4)</f>
        <v/>
      </c>
      <c r="B76" s="19"/>
      <c r="C76" s="19"/>
      <c r="D76" s="19"/>
      <c r="E76" s="20"/>
      <c r="F76" s="21" t="str">
        <f aca="true">IF(OR(E76="",M76="Completada",M76="Cancelada"),"",E76-TODAY())</f>
        <v/>
      </c>
      <c r="G76" s="19"/>
      <c r="H76" s="22" t="str">
        <f aca="false">IF(G76="","",IFERROR(INDEX(Contactos!$C$4:$C$100,MATCH(G76,Contactos!$A$4:$A$100,0)),""))</f>
        <v/>
      </c>
      <c r="I76" s="22" t="str">
        <f aca="false">IF(G76="","",IFERROR(INDEX(Contactos!$D$4:$D$100,MATCH(G76,Contactos!$A$4:$A$100,0)),""))</f>
        <v/>
      </c>
      <c r="J76" s="20"/>
      <c r="K76" s="23"/>
      <c r="L76" s="19"/>
      <c r="M76" s="24"/>
      <c r="N76" s="19"/>
    </row>
    <row r="77" customFormat="false" ht="30" hidden="false" customHeight="true" outlineLevel="0" collapsed="false">
      <c r="A77" s="18" t="str">
        <f aca="false">IF(B77="","",ROW()-4)</f>
        <v/>
      </c>
      <c r="B77" s="19"/>
      <c r="C77" s="19"/>
      <c r="D77" s="19"/>
      <c r="E77" s="20"/>
      <c r="F77" s="21" t="str">
        <f aca="true">IF(OR(E77="",M77="Completada",M77="Cancelada"),"",E77-TODAY())</f>
        <v/>
      </c>
      <c r="G77" s="19"/>
      <c r="H77" s="22" t="str">
        <f aca="false">IF(G77="","",IFERROR(INDEX(Contactos!$C$4:$C$100,MATCH(G77,Contactos!$A$4:$A$100,0)),""))</f>
        <v/>
      </c>
      <c r="I77" s="22" t="str">
        <f aca="false">IF(G77="","",IFERROR(INDEX(Contactos!$D$4:$D$100,MATCH(G77,Contactos!$A$4:$A$100,0)),""))</f>
        <v/>
      </c>
      <c r="J77" s="20"/>
      <c r="K77" s="23"/>
      <c r="L77" s="19"/>
      <c r="M77" s="24"/>
      <c r="N77" s="19"/>
    </row>
    <row r="78" customFormat="false" ht="30" hidden="false" customHeight="true" outlineLevel="0" collapsed="false">
      <c r="A78" s="18" t="str">
        <f aca="false">IF(B78="","",ROW()-4)</f>
        <v/>
      </c>
      <c r="B78" s="19"/>
      <c r="C78" s="19"/>
      <c r="D78" s="19"/>
      <c r="E78" s="20"/>
      <c r="F78" s="21" t="str">
        <f aca="true">IF(OR(E78="",M78="Completada",M78="Cancelada"),"",E78-TODAY())</f>
        <v/>
      </c>
      <c r="G78" s="19"/>
      <c r="H78" s="22" t="str">
        <f aca="false">IF(G78="","",IFERROR(INDEX(Contactos!$C$4:$C$100,MATCH(G78,Contactos!$A$4:$A$100,0)),""))</f>
        <v/>
      </c>
      <c r="I78" s="22" t="str">
        <f aca="false">IF(G78="","",IFERROR(INDEX(Contactos!$D$4:$D$100,MATCH(G78,Contactos!$A$4:$A$100,0)),""))</f>
        <v/>
      </c>
      <c r="J78" s="20"/>
      <c r="K78" s="23"/>
      <c r="L78" s="19"/>
      <c r="M78" s="24"/>
      <c r="N78" s="19"/>
    </row>
    <row r="79" customFormat="false" ht="30" hidden="false" customHeight="true" outlineLevel="0" collapsed="false">
      <c r="A79" s="18" t="str">
        <f aca="false">IF(B79="","",ROW()-4)</f>
        <v/>
      </c>
      <c r="B79" s="19"/>
      <c r="C79" s="19"/>
      <c r="D79" s="19"/>
      <c r="E79" s="20"/>
      <c r="F79" s="21" t="str">
        <f aca="true">IF(OR(E79="",M79="Completada",M79="Cancelada"),"",E79-TODAY())</f>
        <v/>
      </c>
      <c r="G79" s="19"/>
      <c r="H79" s="22" t="str">
        <f aca="false">IF(G79="","",IFERROR(INDEX(Contactos!$C$4:$C$100,MATCH(G79,Contactos!$A$4:$A$100,0)),""))</f>
        <v/>
      </c>
      <c r="I79" s="22" t="str">
        <f aca="false">IF(G79="","",IFERROR(INDEX(Contactos!$D$4:$D$100,MATCH(G79,Contactos!$A$4:$A$100,0)),""))</f>
        <v/>
      </c>
      <c r="J79" s="20"/>
      <c r="K79" s="23"/>
      <c r="L79" s="19"/>
      <c r="M79" s="24"/>
      <c r="N79" s="19"/>
    </row>
    <row r="80" customFormat="false" ht="30" hidden="false" customHeight="true" outlineLevel="0" collapsed="false">
      <c r="A80" s="18" t="str">
        <f aca="false">IF(B80="","",ROW()-4)</f>
        <v/>
      </c>
      <c r="B80" s="19"/>
      <c r="C80" s="19"/>
      <c r="D80" s="19"/>
      <c r="E80" s="20"/>
      <c r="F80" s="21" t="str">
        <f aca="true">IF(OR(E80="",M80="Completada",M80="Cancelada"),"",E80-TODAY())</f>
        <v/>
      </c>
      <c r="G80" s="19"/>
      <c r="H80" s="22" t="str">
        <f aca="false">IF(G80="","",IFERROR(INDEX(Contactos!$C$4:$C$100,MATCH(G80,Contactos!$A$4:$A$100,0)),""))</f>
        <v/>
      </c>
      <c r="I80" s="22" t="str">
        <f aca="false">IF(G80="","",IFERROR(INDEX(Contactos!$D$4:$D$100,MATCH(G80,Contactos!$A$4:$A$100,0)),""))</f>
        <v/>
      </c>
      <c r="J80" s="20"/>
      <c r="K80" s="23"/>
      <c r="L80" s="19"/>
      <c r="M80" s="24"/>
      <c r="N80" s="19"/>
    </row>
    <row r="81" customFormat="false" ht="30" hidden="false" customHeight="true" outlineLevel="0" collapsed="false">
      <c r="A81" s="18" t="str">
        <f aca="false">IF(B81="","",ROW()-4)</f>
        <v/>
      </c>
      <c r="B81" s="19"/>
      <c r="C81" s="19"/>
      <c r="D81" s="19"/>
      <c r="E81" s="20"/>
      <c r="F81" s="21" t="str">
        <f aca="true">IF(OR(E81="",M81="Completada",M81="Cancelada"),"",E81-TODAY())</f>
        <v/>
      </c>
      <c r="G81" s="19"/>
      <c r="H81" s="22" t="str">
        <f aca="false">IF(G81="","",IFERROR(INDEX(Contactos!$C$4:$C$100,MATCH(G81,Contactos!$A$4:$A$100,0)),""))</f>
        <v/>
      </c>
      <c r="I81" s="22" t="str">
        <f aca="false">IF(G81="","",IFERROR(INDEX(Contactos!$D$4:$D$100,MATCH(G81,Contactos!$A$4:$A$100,0)),""))</f>
        <v/>
      </c>
      <c r="J81" s="20"/>
      <c r="K81" s="23"/>
      <c r="L81" s="19"/>
      <c r="M81" s="24"/>
      <c r="N81" s="19"/>
    </row>
    <row r="82" customFormat="false" ht="30" hidden="false" customHeight="true" outlineLevel="0" collapsed="false">
      <c r="A82" s="18" t="str">
        <f aca="false">IF(B82="","",ROW()-4)</f>
        <v/>
      </c>
      <c r="B82" s="19"/>
      <c r="C82" s="19"/>
      <c r="D82" s="19"/>
      <c r="E82" s="20"/>
      <c r="F82" s="21" t="str">
        <f aca="true">IF(OR(E82="",M82="Completada",M82="Cancelada"),"",E82-TODAY())</f>
        <v/>
      </c>
      <c r="G82" s="19"/>
      <c r="H82" s="22" t="str">
        <f aca="false">IF(G82="","",IFERROR(INDEX(Contactos!$C$4:$C$100,MATCH(G82,Contactos!$A$4:$A$100,0)),""))</f>
        <v/>
      </c>
      <c r="I82" s="22" t="str">
        <f aca="false">IF(G82="","",IFERROR(INDEX(Contactos!$D$4:$D$100,MATCH(G82,Contactos!$A$4:$A$100,0)),""))</f>
        <v/>
      </c>
      <c r="J82" s="20"/>
      <c r="K82" s="23"/>
      <c r="L82" s="19"/>
      <c r="M82" s="24"/>
      <c r="N82" s="19"/>
    </row>
    <row r="83" customFormat="false" ht="30" hidden="false" customHeight="true" outlineLevel="0" collapsed="false">
      <c r="A83" s="18" t="str">
        <f aca="false">IF(B83="","",ROW()-4)</f>
        <v/>
      </c>
      <c r="B83" s="19"/>
      <c r="C83" s="19"/>
      <c r="D83" s="19"/>
      <c r="E83" s="20"/>
      <c r="F83" s="21" t="str">
        <f aca="true">IF(OR(E83="",M83="Completada",M83="Cancelada"),"",E83-TODAY())</f>
        <v/>
      </c>
      <c r="G83" s="19"/>
      <c r="H83" s="22" t="str">
        <f aca="false">IF(G83="","",IFERROR(INDEX(Contactos!$C$4:$C$100,MATCH(G83,Contactos!$A$4:$A$100,0)),""))</f>
        <v/>
      </c>
      <c r="I83" s="22" t="str">
        <f aca="false">IF(G83="","",IFERROR(INDEX(Contactos!$D$4:$D$100,MATCH(G83,Contactos!$A$4:$A$100,0)),""))</f>
        <v/>
      </c>
      <c r="J83" s="20"/>
      <c r="K83" s="23"/>
      <c r="L83" s="19"/>
      <c r="M83" s="24"/>
      <c r="N83" s="19"/>
    </row>
    <row r="84" customFormat="false" ht="30" hidden="false" customHeight="true" outlineLevel="0" collapsed="false">
      <c r="A84" s="18" t="str">
        <f aca="false">IF(B84="","",ROW()-4)</f>
        <v/>
      </c>
      <c r="B84" s="19"/>
      <c r="C84" s="19"/>
      <c r="D84" s="19"/>
      <c r="E84" s="20"/>
      <c r="F84" s="21" t="str">
        <f aca="true">IF(OR(E84="",M84="Completada",M84="Cancelada"),"",E84-TODAY())</f>
        <v/>
      </c>
      <c r="G84" s="19"/>
      <c r="H84" s="22" t="str">
        <f aca="false">IF(G84="","",IFERROR(INDEX(Contactos!$C$4:$C$100,MATCH(G84,Contactos!$A$4:$A$100,0)),""))</f>
        <v/>
      </c>
      <c r="I84" s="22" t="str">
        <f aca="false">IF(G84="","",IFERROR(INDEX(Contactos!$D$4:$D$100,MATCH(G84,Contactos!$A$4:$A$100,0)),""))</f>
        <v/>
      </c>
      <c r="J84" s="20"/>
      <c r="K84" s="23"/>
      <c r="L84" s="19"/>
      <c r="M84" s="24"/>
      <c r="N84" s="19"/>
    </row>
    <row r="85" customFormat="false" ht="30" hidden="false" customHeight="true" outlineLevel="0" collapsed="false">
      <c r="A85" s="18" t="str">
        <f aca="false">IF(B85="","",ROW()-4)</f>
        <v/>
      </c>
      <c r="B85" s="19"/>
      <c r="C85" s="19"/>
      <c r="D85" s="19"/>
      <c r="E85" s="20"/>
      <c r="F85" s="21" t="str">
        <f aca="true">IF(OR(E85="",M85="Completada",M85="Cancelada"),"",E85-TODAY())</f>
        <v/>
      </c>
      <c r="G85" s="19"/>
      <c r="H85" s="22" t="str">
        <f aca="false">IF(G85="","",IFERROR(INDEX(Contactos!$C$4:$C$100,MATCH(G85,Contactos!$A$4:$A$100,0)),""))</f>
        <v/>
      </c>
      <c r="I85" s="22" t="str">
        <f aca="false">IF(G85="","",IFERROR(INDEX(Contactos!$D$4:$D$100,MATCH(G85,Contactos!$A$4:$A$100,0)),""))</f>
        <v/>
      </c>
      <c r="J85" s="20"/>
      <c r="K85" s="23"/>
      <c r="L85" s="19"/>
      <c r="M85" s="24"/>
      <c r="N85" s="19"/>
    </row>
    <row r="86" customFormat="false" ht="30" hidden="false" customHeight="true" outlineLevel="0" collapsed="false">
      <c r="A86" s="18" t="str">
        <f aca="false">IF(B86="","",ROW()-4)</f>
        <v/>
      </c>
      <c r="B86" s="19"/>
      <c r="C86" s="19"/>
      <c r="D86" s="19"/>
      <c r="E86" s="20"/>
      <c r="F86" s="21" t="str">
        <f aca="true">IF(OR(E86="",M86="Completada",M86="Cancelada"),"",E86-TODAY())</f>
        <v/>
      </c>
      <c r="G86" s="19"/>
      <c r="H86" s="22" t="str">
        <f aca="false">IF(G86="","",IFERROR(INDEX(Contactos!$C$4:$C$100,MATCH(G86,Contactos!$A$4:$A$100,0)),""))</f>
        <v/>
      </c>
      <c r="I86" s="22" t="str">
        <f aca="false">IF(G86="","",IFERROR(INDEX(Contactos!$D$4:$D$100,MATCH(G86,Contactos!$A$4:$A$100,0)),""))</f>
        <v/>
      </c>
      <c r="J86" s="20"/>
      <c r="K86" s="23"/>
      <c r="L86" s="19"/>
      <c r="M86" s="24"/>
      <c r="N86" s="19"/>
    </row>
    <row r="87" customFormat="false" ht="30" hidden="false" customHeight="true" outlineLevel="0" collapsed="false">
      <c r="A87" s="18" t="str">
        <f aca="false">IF(B87="","",ROW()-4)</f>
        <v/>
      </c>
      <c r="B87" s="19"/>
      <c r="C87" s="19"/>
      <c r="D87" s="19"/>
      <c r="E87" s="20"/>
      <c r="F87" s="21" t="str">
        <f aca="true">IF(OR(E87="",M87="Completada",M87="Cancelada"),"",E87-TODAY())</f>
        <v/>
      </c>
      <c r="G87" s="19"/>
      <c r="H87" s="22" t="str">
        <f aca="false">IF(G87="","",IFERROR(INDEX(Contactos!$C$4:$C$100,MATCH(G87,Contactos!$A$4:$A$100,0)),""))</f>
        <v/>
      </c>
      <c r="I87" s="22" t="str">
        <f aca="false">IF(G87="","",IFERROR(INDEX(Contactos!$D$4:$D$100,MATCH(G87,Contactos!$A$4:$A$100,0)),""))</f>
        <v/>
      </c>
      <c r="J87" s="20"/>
      <c r="K87" s="23"/>
      <c r="L87" s="19"/>
      <c r="M87" s="24"/>
      <c r="N87" s="19"/>
    </row>
    <row r="88" customFormat="false" ht="30" hidden="false" customHeight="true" outlineLevel="0" collapsed="false">
      <c r="A88" s="18" t="str">
        <f aca="false">IF(B88="","",ROW()-4)</f>
        <v/>
      </c>
      <c r="B88" s="19"/>
      <c r="C88" s="19"/>
      <c r="D88" s="19"/>
      <c r="E88" s="20"/>
      <c r="F88" s="21" t="str">
        <f aca="true">IF(OR(E88="",M88="Completada",M88="Cancelada"),"",E88-TODAY())</f>
        <v/>
      </c>
      <c r="G88" s="19"/>
      <c r="H88" s="22" t="str">
        <f aca="false">IF(G88="","",IFERROR(INDEX(Contactos!$C$4:$C$100,MATCH(G88,Contactos!$A$4:$A$100,0)),""))</f>
        <v/>
      </c>
      <c r="I88" s="22" t="str">
        <f aca="false">IF(G88="","",IFERROR(INDEX(Contactos!$D$4:$D$100,MATCH(G88,Contactos!$A$4:$A$100,0)),""))</f>
        <v/>
      </c>
      <c r="J88" s="20"/>
      <c r="K88" s="23"/>
      <c r="L88" s="19"/>
      <c r="M88" s="24"/>
      <c r="N88" s="19"/>
    </row>
    <row r="89" customFormat="false" ht="30" hidden="false" customHeight="true" outlineLevel="0" collapsed="false">
      <c r="A89" s="18" t="str">
        <f aca="false">IF(B89="","",ROW()-4)</f>
        <v/>
      </c>
      <c r="B89" s="19"/>
      <c r="C89" s="19"/>
      <c r="D89" s="19"/>
      <c r="E89" s="20"/>
      <c r="F89" s="21" t="str">
        <f aca="true">IF(OR(E89="",M89="Completada",M89="Cancelada"),"",E89-TODAY())</f>
        <v/>
      </c>
      <c r="G89" s="19"/>
      <c r="H89" s="22" t="str">
        <f aca="false">IF(G89="","",IFERROR(INDEX(Contactos!$C$4:$C$100,MATCH(G89,Contactos!$A$4:$A$100,0)),""))</f>
        <v/>
      </c>
      <c r="I89" s="22" t="str">
        <f aca="false">IF(G89="","",IFERROR(INDEX(Contactos!$D$4:$D$100,MATCH(G89,Contactos!$A$4:$A$100,0)),""))</f>
        <v/>
      </c>
      <c r="J89" s="20"/>
      <c r="K89" s="23"/>
      <c r="L89" s="19"/>
      <c r="M89" s="24"/>
      <c r="N89" s="19"/>
    </row>
    <row r="90" customFormat="false" ht="30" hidden="false" customHeight="true" outlineLevel="0" collapsed="false">
      <c r="A90" s="18" t="str">
        <f aca="false">IF(B90="","",ROW()-4)</f>
        <v/>
      </c>
      <c r="B90" s="19"/>
      <c r="C90" s="19"/>
      <c r="D90" s="19"/>
      <c r="E90" s="20"/>
      <c r="F90" s="21" t="str">
        <f aca="true">IF(OR(E90="",M90="Completada",M90="Cancelada"),"",E90-TODAY())</f>
        <v/>
      </c>
      <c r="G90" s="19"/>
      <c r="H90" s="22" t="str">
        <f aca="false">IF(G90="","",IFERROR(INDEX(Contactos!$C$4:$C$100,MATCH(G90,Contactos!$A$4:$A$100,0)),""))</f>
        <v/>
      </c>
      <c r="I90" s="22" t="str">
        <f aca="false">IF(G90="","",IFERROR(INDEX(Contactos!$D$4:$D$100,MATCH(G90,Contactos!$A$4:$A$100,0)),""))</f>
        <v/>
      </c>
      <c r="J90" s="20"/>
      <c r="K90" s="23"/>
      <c r="L90" s="19"/>
      <c r="M90" s="24"/>
      <c r="N90" s="19"/>
    </row>
    <row r="91" customFormat="false" ht="30" hidden="false" customHeight="true" outlineLevel="0" collapsed="false">
      <c r="A91" s="18" t="str">
        <f aca="false">IF(B91="","",ROW()-4)</f>
        <v/>
      </c>
      <c r="B91" s="19"/>
      <c r="C91" s="19"/>
      <c r="D91" s="19"/>
      <c r="E91" s="20"/>
      <c r="F91" s="21" t="str">
        <f aca="true">IF(OR(E91="",M91="Completada",M91="Cancelada"),"",E91-TODAY())</f>
        <v/>
      </c>
      <c r="G91" s="19"/>
      <c r="H91" s="22" t="str">
        <f aca="false">IF(G91="","",IFERROR(INDEX(Contactos!$C$4:$C$100,MATCH(G91,Contactos!$A$4:$A$100,0)),""))</f>
        <v/>
      </c>
      <c r="I91" s="22" t="str">
        <f aca="false">IF(G91="","",IFERROR(INDEX(Contactos!$D$4:$D$100,MATCH(G91,Contactos!$A$4:$A$100,0)),""))</f>
        <v/>
      </c>
      <c r="J91" s="20"/>
      <c r="K91" s="23"/>
      <c r="L91" s="19"/>
      <c r="M91" s="24"/>
      <c r="N91" s="19"/>
    </row>
    <row r="92" customFormat="false" ht="30" hidden="false" customHeight="true" outlineLevel="0" collapsed="false">
      <c r="A92" s="18" t="str">
        <f aca="false">IF(B92="","",ROW()-4)</f>
        <v/>
      </c>
      <c r="B92" s="19"/>
      <c r="C92" s="19"/>
      <c r="D92" s="19"/>
      <c r="E92" s="20"/>
      <c r="F92" s="21" t="str">
        <f aca="true">IF(OR(E92="",M92="Completada",M92="Cancelada"),"",E92-TODAY())</f>
        <v/>
      </c>
      <c r="G92" s="19"/>
      <c r="H92" s="22" t="str">
        <f aca="false">IF(G92="","",IFERROR(INDEX(Contactos!$C$4:$C$100,MATCH(G92,Contactos!$A$4:$A$100,0)),""))</f>
        <v/>
      </c>
      <c r="I92" s="22" t="str">
        <f aca="false">IF(G92="","",IFERROR(INDEX(Contactos!$D$4:$D$100,MATCH(G92,Contactos!$A$4:$A$100,0)),""))</f>
        <v/>
      </c>
      <c r="J92" s="20"/>
      <c r="K92" s="23"/>
      <c r="L92" s="19"/>
      <c r="M92" s="24"/>
      <c r="N92" s="19"/>
    </row>
    <row r="93" customFormat="false" ht="30" hidden="false" customHeight="true" outlineLevel="0" collapsed="false">
      <c r="A93" s="18" t="str">
        <f aca="false">IF(B93="","",ROW()-4)</f>
        <v/>
      </c>
      <c r="B93" s="19"/>
      <c r="C93" s="19"/>
      <c r="D93" s="19"/>
      <c r="E93" s="20"/>
      <c r="F93" s="21" t="str">
        <f aca="true">IF(OR(E93="",M93="Completada",M93="Cancelada"),"",E93-TODAY())</f>
        <v/>
      </c>
      <c r="G93" s="19"/>
      <c r="H93" s="22" t="str">
        <f aca="false">IF(G93="","",IFERROR(INDEX(Contactos!$C$4:$C$100,MATCH(G93,Contactos!$A$4:$A$100,0)),""))</f>
        <v/>
      </c>
      <c r="I93" s="22" t="str">
        <f aca="false">IF(G93="","",IFERROR(INDEX(Contactos!$D$4:$D$100,MATCH(G93,Contactos!$A$4:$A$100,0)),""))</f>
        <v/>
      </c>
      <c r="J93" s="20"/>
      <c r="K93" s="23"/>
      <c r="L93" s="19"/>
      <c r="M93" s="24"/>
      <c r="N93" s="19"/>
    </row>
    <row r="94" customFormat="false" ht="30" hidden="false" customHeight="true" outlineLevel="0" collapsed="false">
      <c r="A94" s="18" t="str">
        <f aca="false">IF(B94="","",ROW()-4)</f>
        <v/>
      </c>
      <c r="B94" s="19"/>
      <c r="C94" s="19"/>
      <c r="D94" s="19"/>
      <c r="E94" s="20"/>
      <c r="F94" s="21" t="str">
        <f aca="true">IF(OR(E94="",M94="Completada",M94="Cancelada"),"",E94-TODAY())</f>
        <v/>
      </c>
      <c r="G94" s="19"/>
      <c r="H94" s="22" t="str">
        <f aca="false">IF(G94="","",IFERROR(INDEX(Contactos!$C$4:$C$100,MATCH(G94,Contactos!$A$4:$A$100,0)),""))</f>
        <v/>
      </c>
      <c r="I94" s="22" t="str">
        <f aca="false">IF(G94="","",IFERROR(INDEX(Contactos!$D$4:$D$100,MATCH(G94,Contactos!$A$4:$A$100,0)),""))</f>
        <v/>
      </c>
      <c r="J94" s="20"/>
      <c r="K94" s="23"/>
      <c r="L94" s="19"/>
      <c r="M94" s="24"/>
      <c r="N94" s="19"/>
    </row>
    <row r="95" customFormat="false" ht="30" hidden="false" customHeight="true" outlineLevel="0" collapsed="false">
      <c r="A95" s="18" t="str">
        <f aca="false">IF(B95="","",ROW()-4)</f>
        <v/>
      </c>
      <c r="B95" s="19"/>
      <c r="C95" s="19"/>
      <c r="D95" s="19"/>
      <c r="E95" s="20"/>
      <c r="F95" s="21" t="str">
        <f aca="true">IF(OR(E95="",M95="Completada",M95="Cancelada"),"",E95-TODAY())</f>
        <v/>
      </c>
      <c r="G95" s="19"/>
      <c r="H95" s="22" t="str">
        <f aca="false">IF(G95="","",IFERROR(INDEX(Contactos!$C$4:$C$100,MATCH(G95,Contactos!$A$4:$A$100,0)),""))</f>
        <v/>
      </c>
      <c r="I95" s="22" t="str">
        <f aca="false">IF(G95="","",IFERROR(INDEX(Contactos!$D$4:$D$100,MATCH(G95,Contactos!$A$4:$A$100,0)),""))</f>
        <v/>
      </c>
      <c r="J95" s="20"/>
      <c r="K95" s="23"/>
      <c r="L95" s="19"/>
      <c r="M95" s="24"/>
      <c r="N95" s="19"/>
    </row>
    <row r="96" customFormat="false" ht="30" hidden="false" customHeight="true" outlineLevel="0" collapsed="false">
      <c r="A96" s="18" t="str">
        <f aca="false">IF(B96="","",ROW()-4)</f>
        <v/>
      </c>
      <c r="B96" s="19"/>
      <c r="C96" s="19"/>
      <c r="D96" s="19"/>
      <c r="E96" s="20"/>
      <c r="F96" s="21" t="str">
        <f aca="true">IF(OR(E96="",M96="Completada",M96="Cancelada"),"",E96-TODAY())</f>
        <v/>
      </c>
      <c r="G96" s="19"/>
      <c r="H96" s="22" t="str">
        <f aca="false">IF(G96="","",IFERROR(INDEX(Contactos!$C$4:$C$100,MATCH(G96,Contactos!$A$4:$A$100,0)),""))</f>
        <v/>
      </c>
      <c r="I96" s="22" t="str">
        <f aca="false">IF(G96="","",IFERROR(INDEX(Contactos!$D$4:$D$100,MATCH(G96,Contactos!$A$4:$A$100,0)),""))</f>
        <v/>
      </c>
      <c r="J96" s="20"/>
      <c r="K96" s="23"/>
      <c r="L96" s="19"/>
      <c r="M96" s="24"/>
      <c r="N96" s="19"/>
    </row>
    <row r="97" customFormat="false" ht="30" hidden="false" customHeight="true" outlineLevel="0" collapsed="false">
      <c r="A97" s="18" t="str">
        <f aca="false">IF(B97="","",ROW()-4)</f>
        <v/>
      </c>
      <c r="B97" s="19"/>
      <c r="C97" s="19"/>
      <c r="D97" s="19"/>
      <c r="E97" s="20"/>
      <c r="F97" s="21" t="str">
        <f aca="true">IF(OR(E97="",M97="Completada",M97="Cancelada"),"",E97-TODAY())</f>
        <v/>
      </c>
      <c r="G97" s="19"/>
      <c r="H97" s="22" t="str">
        <f aca="false">IF(G97="","",IFERROR(INDEX(Contactos!$C$4:$C$100,MATCH(G97,Contactos!$A$4:$A$100,0)),""))</f>
        <v/>
      </c>
      <c r="I97" s="22" t="str">
        <f aca="false">IF(G97="","",IFERROR(INDEX(Contactos!$D$4:$D$100,MATCH(G97,Contactos!$A$4:$A$100,0)),""))</f>
        <v/>
      </c>
      <c r="J97" s="20"/>
      <c r="K97" s="23"/>
      <c r="L97" s="19"/>
      <c r="M97" s="24"/>
      <c r="N97" s="19"/>
    </row>
    <row r="98" customFormat="false" ht="30" hidden="false" customHeight="true" outlineLevel="0" collapsed="false">
      <c r="A98" s="18" t="str">
        <f aca="false">IF(B98="","",ROW()-4)</f>
        <v/>
      </c>
      <c r="B98" s="19"/>
      <c r="C98" s="19"/>
      <c r="D98" s="19"/>
      <c r="E98" s="20"/>
      <c r="F98" s="21" t="str">
        <f aca="true">IF(OR(E98="",M98="Completada",M98="Cancelada"),"",E98-TODAY())</f>
        <v/>
      </c>
      <c r="G98" s="19"/>
      <c r="H98" s="22" t="str">
        <f aca="false">IF(G98="","",IFERROR(INDEX(Contactos!$C$4:$C$100,MATCH(G98,Contactos!$A$4:$A$100,0)),""))</f>
        <v/>
      </c>
      <c r="I98" s="22" t="str">
        <f aca="false">IF(G98="","",IFERROR(INDEX(Contactos!$D$4:$D$100,MATCH(G98,Contactos!$A$4:$A$100,0)),""))</f>
        <v/>
      </c>
      <c r="J98" s="20"/>
      <c r="K98" s="23"/>
      <c r="L98" s="19"/>
      <c r="M98" s="24"/>
      <c r="N98" s="19"/>
    </row>
    <row r="99" customFormat="false" ht="30" hidden="false" customHeight="true" outlineLevel="0" collapsed="false">
      <c r="A99" s="18" t="str">
        <f aca="false">IF(B99="","",ROW()-4)</f>
        <v/>
      </c>
      <c r="B99" s="19"/>
      <c r="C99" s="19"/>
      <c r="D99" s="19"/>
      <c r="E99" s="20"/>
      <c r="F99" s="21" t="str">
        <f aca="true">IF(OR(E99="",M99="Completada",M99="Cancelada"),"",E99-TODAY())</f>
        <v/>
      </c>
      <c r="G99" s="19"/>
      <c r="H99" s="22" t="str">
        <f aca="false">IF(G99="","",IFERROR(INDEX(Contactos!$C$4:$C$100,MATCH(G99,Contactos!$A$4:$A$100,0)),""))</f>
        <v/>
      </c>
      <c r="I99" s="22" t="str">
        <f aca="false">IF(G99="","",IFERROR(INDEX(Contactos!$D$4:$D$100,MATCH(G99,Contactos!$A$4:$A$100,0)),""))</f>
        <v/>
      </c>
      <c r="J99" s="20"/>
      <c r="K99" s="23"/>
      <c r="L99" s="19"/>
      <c r="M99" s="24"/>
      <c r="N99" s="19"/>
    </row>
    <row r="100" customFormat="false" ht="30" hidden="false" customHeight="true" outlineLevel="0" collapsed="false">
      <c r="A100" s="18" t="str">
        <f aca="false">IF(B100="","",ROW()-4)</f>
        <v/>
      </c>
      <c r="B100" s="19"/>
      <c r="C100" s="19"/>
      <c r="D100" s="19"/>
      <c r="E100" s="20"/>
      <c r="F100" s="21" t="str">
        <f aca="true">IF(OR(E100="",M100="Completada",M100="Cancelada"),"",E100-TODAY())</f>
        <v/>
      </c>
      <c r="G100" s="19"/>
      <c r="H100" s="22" t="str">
        <f aca="false">IF(G100="","",IFERROR(INDEX(Contactos!$C$4:$C$100,MATCH(G100,Contactos!$A$4:$A$100,0)),""))</f>
        <v/>
      </c>
      <c r="I100" s="22" t="str">
        <f aca="false">IF(G100="","",IFERROR(INDEX(Contactos!$D$4:$D$100,MATCH(G100,Contactos!$A$4:$A$100,0)),""))</f>
        <v/>
      </c>
      <c r="J100" s="20"/>
      <c r="K100" s="23"/>
      <c r="L100" s="19"/>
      <c r="M100" s="24"/>
      <c r="N100" s="19"/>
    </row>
    <row r="101" customFormat="false" ht="30" hidden="false" customHeight="true" outlineLevel="0" collapsed="false">
      <c r="A101" s="18" t="str">
        <f aca="false">IF(B101="","",ROW()-4)</f>
        <v/>
      </c>
      <c r="B101" s="19"/>
      <c r="C101" s="19"/>
      <c r="D101" s="19"/>
      <c r="E101" s="20"/>
      <c r="F101" s="21" t="str">
        <f aca="true">IF(OR(E101="",M101="Completada",M101="Cancelada"),"",E101-TODAY())</f>
        <v/>
      </c>
      <c r="G101" s="19"/>
      <c r="H101" s="22" t="str">
        <f aca="false">IF(G101="","",IFERROR(INDEX(Contactos!$C$4:$C$100,MATCH(G101,Contactos!$A$4:$A$100,0)),""))</f>
        <v/>
      </c>
      <c r="I101" s="22" t="str">
        <f aca="false">IF(G101="","",IFERROR(INDEX(Contactos!$D$4:$D$100,MATCH(G101,Contactos!$A$4:$A$100,0)),""))</f>
        <v/>
      </c>
      <c r="J101" s="20"/>
      <c r="K101" s="23"/>
      <c r="L101" s="19"/>
      <c r="M101" s="24"/>
      <c r="N101" s="19"/>
    </row>
    <row r="102" customFormat="false" ht="30" hidden="false" customHeight="true" outlineLevel="0" collapsed="false">
      <c r="A102" s="18" t="str">
        <f aca="false">IF(B102="","",ROW()-4)</f>
        <v/>
      </c>
      <c r="B102" s="19"/>
      <c r="C102" s="19"/>
      <c r="D102" s="19"/>
      <c r="E102" s="20"/>
      <c r="F102" s="21" t="str">
        <f aca="true">IF(OR(E102="",M102="Completada",M102="Cancelada"),"",E102-TODAY())</f>
        <v/>
      </c>
      <c r="G102" s="19"/>
      <c r="H102" s="22" t="str">
        <f aca="false">IF(G102="","",IFERROR(INDEX(Contactos!$C$4:$C$100,MATCH(G102,Contactos!$A$4:$A$100,0)),""))</f>
        <v/>
      </c>
      <c r="I102" s="22" t="str">
        <f aca="false">IF(G102="","",IFERROR(INDEX(Contactos!$D$4:$D$100,MATCH(G102,Contactos!$A$4:$A$100,0)),""))</f>
        <v/>
      </c>
      <c r="J102" s="20"/>
      <c r="K102" s="23"/>
      <c r="L102" s="19"/>
      <c r="M102" s="24"/>
      <c r="N102" s="19"/>
    </row>
    <row r="103" customFormat="false" ht="30" hidden="false" customHeight="true" outlineLevel="0" collapsed="false">
      <c r="A103" s="18" t="str">
        <f aca="false">IF(B103="","",ROW()-4)</f>
        <v/>
      </c>
      <c r="B103" s="19"/>
      <c r="C103" s="19"/>
      <c r="D103" s="19"/>
      <c r="E103" s="20"/>
      <c r="F103" s="21" t="str">
        <f aca="true">IF(OR(E103="",M103="Completada",M103="Cancelada"),"",E103-TODAY())</f>
        <v/>
      </c>
      <c r="G103" s="19"/>
      <c r="H103" s="22" t="str">
        <f aca="false">IF(G103="","",IFERROR(INDEX(Contactos!$C$4:$C$100,MATCH(G103,Contactos!$A$4:$A$100,0)),""))</f>
        <v/>
      </c>
      <c r="I103" s="22" t="str">
        <f aca="false">IF(G103="","",IFERROR(INDEX(Contactos!$D$4:$D$100,MATCH(G103,Contactos!$A$4:$A$100,0)),""))</f>
        <v/>
      </c>
      <c r="J103" s="20"/>
      <c r="K103" s="23"/>
      <c r="L103" s="19"/>
      <c r="M103" s="24"/>
      <c r="N103" s="19"/>
    </row>
    <row r="104" customFormat="false" ht="30" hidden="false" customHeight="true" outlineLevel="0" collapsed="false">
      <c r="A104" s="18" t="str">
        <f aca="false">IF(B104="","",ROW()-4)</f>
        <v/>
      </c>
      <c r="B104" s="19"/>
      <c r="C104" s="19"/>
      <c r="D104" s="19"/>
      <c r="E104" s="20"/>
      <c r="F104" s="21" t="str">
        <f aca="true">IF(OR(E104="",M104="Completada",M104="Cancelada"),"",E104-TODAY())</f>
        <v/>
      </c>
      <c r="G104" s="19"/>
      <c r="H104" s="22" t="str">
        <f aca="false">IF(G104="","",IFERROR(INDEX(Contactos!$C$4:$C$100,MATCH(G104,Contactos!$A$4:$A$100,0)),""))</f>
        <v/>
      </c>
      <c r="I104" s="22" t="str">
        <f aca="false">IF(G104="","",IFERROR(INDEX(Contactos!$D$4:$D$100,MATCH(G104,Contactos!$A$4:$A$100,0)),""))</f>
        <v/>
      </c>
      <c r="J104" s="20"/>
      <c r="K104" s="23"/>
      <c r="L104" s="19"/>
      <c r="M104" s="24"/>
      <c r="N104" s="19"/>
    </row>
  </sheetData>
  <autoFilter ref="A4:N104"/>
  <mergeCells count="1">
    <mergeCell ref="B2:C2"/>
  </mergeCells>
  <conditionalFormatting sqref="A5:N104">
    <cfRule type="expression" priority="2" aboveAverage="0" equalAverage="0" bottom="0" percent="0" rank="0" text="" dxfId="5">
      <formula>$M5="Completada"</formula>
    </cfRule>
    <cfRule type="expression" priority="3" aboveAverage="0" equalAverage="0" bottom="0" percent="0" rank="0" text="" dxfId="6">
      <formula>$M5="Cancelada"</formula>
    </cfRule>
    <cfRule type="expression" priority="4" aboveAverage="0" equalAverage="0" bottom="0" percent="0" rank="0" text="" dxfId="7">
      <formula>AND($B5&lt;&gt;"",$E5&lt;&gt;"",$E5&lt;TODAY())</formula>
    </cfRule>
    <cfRule type="expression" priority="5" aboveAverage="0" equalAverage="0" bottom="0" percent="0" rank="0" text="" dxfId="8">
      <formula>AND($B5&lt;&gt;"",$E5&lt;&gt;"",$E5-TODAY()&lt;=3)</formula>
    </cfRule>
  </conditionalFormatting>
  <dataValidations count="4">
    <dataValidation allowBlank="true" error="Elige un estado de la lista" errorStyle="stop" errorTitle="Estado no válido" operator="between" showDropDown="false" showErrorMessage="false" showInputMessage="false" sqref="M5:M104" type="list">
      <formula1>"Pendiente,En proceso,Completada,Cancelada"</formula1>
      <formula2>0</formula2>
    </dataValidation>
    <dataValidation allowBlank="true" error="Esta persona no está en la hoja Contactos. Puedes añadirla allí para ver su teléfono y email." errorStyle="warning" errorTitle="Persona no registrada" operator="between" showDropDown="false" showErrorMessage="true" showInputMessage="false" sqref="D5:D104 G5:G104" type="list">
      <formula1>Contactos!$A$4:$A$100</formula1>
      <formula2>0</formula2>
    </dataValidation>
    <dataValidation allowBlank="true" error="Introduce una fecha válida (dd/mm/aaaa)" errorStyle="stop" errorTitle="Fecha no válida" operator="greaterThan" showDropDown="false" showErrorMessage="false" showInputMessage="false" sqref="E5:E104 J5:J104" type="date">
      <formula1>DATE(2000,1,1)</formula1>
      <formula2>0</formula2>
    </dataValidation>
    <dataValidation allowBlank="true" error="Introduce una hora válida (hh:mm)" errorStyle="stop" errorTitle="Hora no válida" operator="between" showDropDown="false" showErrorMessage="false" showInputMessage="false" sqref="K5:K104" type="time">
      <formula1>0</formula1>
      <formula2>0.999988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25" t="s">
        <v>61</v>
      </c>
    </row>
    <row r="3" customFormat="false" ht="24" hidden="false" customHeight="true" outlineLevel="0" collapsed="false">
      <c r="A3" s="17" t="s">
        <v>62</v>
      </c>
      <c r="B3" s="17" t="s">
        <v>63</v>
      </c>
      <c r="C3" s="17" t="s">
        <v>64</v>
      </c>
      <c r="D3" s="17" t="s">
        <v>65</v>
      </c>
      <c r="E3" s="17" t="s">
        <v>66</v>
      </c>
    </row>
    <row r="4" customFormat="false" ht="15" hidden="false" customHeight="false" outlineLevel="0" collapsed="false">
      <c r="A4" s="19" t="s">
        <v>47</v>
      </c>
      <c r="B4" s="19" t="s">
        <v>67</v>
      </c>
      <c r="C4" s="19" t="s">
        <v>68</v>
      </c>
      <c r="D4" s="19" t="s">
        <v>69</v>
      </c>
      <c r="E4" s="19" t="s">
        <v>70</v>
      </c>
    </row>
    <row r="5" customFormat="false" ht="15" hidden="false" customHeight="false" outlineLevel="0" collapsed="false">
      <c r="A5" s="19" t="s">
        <v>48</v>
      </c>
      <c r="B5" s="19" t="s">
        <v>71</v>
      </c>
      <c r="C5" s="19" t="s">
        <v>72</v>
      </c>
      <c r="D5" s="19" t="s">
        <v>73</v>
      </c>
      <c r="E5" s="19" t="s">
        <v>70</v>
      </c>
    </row>
    <row r="6" customFormat="false" ht="15" hidden="false" customHeight="false" outlineLevel="0" collapsed="false">
      <c r="A6" s="19" t="s">
        <v>53</v>
      </c>
      <c r="B6" s="19" t="s">
        <v>74</v>
      </c>
      <c r="C6" s="19" t="s">
        <v>75</v>
      </c>
      <c r="D6" s="19" t="s">
        <v>76</v>
      </c>
      <c r="E6" s="19" t="s">
        <v>70</v>
      </c>
    </row>
    <row r="7" customFormat="false" ht="15" hidden="false" customHeight="false" outlineLevel="0" collapsed="false">
      <c r="A7" s="19" t="s">
        <v>59</v>
      </c>
      <c r="B7" s="19" t="s">
        <v>77</v>
      </c>
      <c r="C7" s="19" t="s">
        <v>78</v>
      </c>
      <c r="D7" s="19" t="s">
        <v>79</v>
      </c>
      <c r="E7" s="19" t="s">
        <v>70</v>
      </c>
    </row>
    <row r="8" customFormat="false" ht="15" hidden="false" customHeight="false" outlineLevel="0" collapsed="false">
      <c r="A8" s="19"/>
      <c r="B8" s="19"/>
      <c r="C8" s="19"/>
      <c r="D8" s="19"/>
      <c r="E8" s="19"/>
    </row>
    <row r="9" customFormat="false" ht="15" hidden="false" customHeight="false" outlineLevel="0" collapsed="false">
      <c r="A9" s="19"/>
      <c r="B9" s="19"/>
      <c r="C9" s="19"/>
      <c r="D9" s="19"/>
      <c r="E9" s="19"/>
    </row>
    <row r="10" customFormat="false" ht="15" hidden="false" customHeight="false" outlineLevel="0" collapsed="false">
      <c r="A10" s="19"/>
      <c r="B10" s="19"/>
      <c r="C10" s="19"/>
      <c r="D10" s="19"/>
      <c r="E10" s="19"/>
    </row>
    <row r="11" customFormat="false" ht="15" hidden="false" customHeight="false" outlineLevel="0" collapsed="false">
      <c r="A11" s="19"/>
      <c r="B11" s="19"/>
      <c r="C11" s="19"/>
      <c r="D11" s="19"/>
      <c r="E11" s="19"/>
    </row>
    <row r="12" customFormat="false" ht="15" hidden="false" customHeight="false" outlineLevel="0" collapsed="false">
      <c r="A12" s="19"/>
      <c r="B12" s="19"/>
      <c r="C12" s="19"/>
      <c r="D12" s="19"/>
      <c r="E12" s="19"/>
    </row>
    <row r="13" customFormat="false" ht="15" hidden="false" customHeight="false" outlineLevel="0" collapsed="false">
      <c r="A13" s="19"/>
      <c r="B13" s="19"/>
      <c r="C13" s="19"/>
      <c r="D13" s="19"/>
      <c r="E13" s="19"/>
    </row>
    <row r="14" customFormat="false" ht="15" hidden="false" customHeight="false" outlineLevel="0" collapsed="false">
      <c r="A14" s="19"/>
      <c r="B14" s="19"/>
      <c r="C14" s="19"/>
      <c r="D14" s="19"/>
      <c r="E14" s="19"/>
    </row>
    <row r="15" customFormat="false" ht="15" hidden="false" customHeight="false" outlineLevel="0" collapsed="false">
      <c r="A15" s="19"/>
      <c r="B15" s="19"/>
      <c r="C15" s="19"/>
      <c r="D15" s="19"/>
      <c r="E15" s="19"/>
    </row>
    <row r="16" customFormat="false" ht="15" hidden="false" customHeight="false" outlineLevel="0" collapsed="false">
      <c r="A16" s="19"/>
      <c r="B16" s="19"/>
      <c r="C16" s="19"/>
      <c r="D16" s="19"/>
      <c r="E16" s="19"/>
    </row>
    <row r="17" customFormat="false" ht="15" hidden="false" customHeight="false" outlineLevel="0" collapsed="false">
      <c r="A17" s="19"/>
      <c r="B17" s="19"/>
      <c r="C17" s="19"/>
      <c r="D17" s="19"/>
      <c r="E17" s="19"/>
    </row>
    <row r="18" customFormat="false" ht="15" hidden="false" customHeight="false" outlineLevel="0" collapsed="false">
      <c r="A18" s="19"/>
      <c r="B18" s="19"/>
      <c r="C18" s="19"/>
      <c r="D18" s="19"/>
      <c r="E18" s="19"/>
    </row>
    <row r="19" customFormat="false" ht="15" hidden="false" customHeight="false" outlineLevel="0" collapsed="false">
      <c r="A19" s="19"/>
      <c r="B19" s="19"/>
      <c r="C19" s="19"/>
      <c r="D19" s="19"/>
      <c r="E19" s="19"/>
    </row>
    <row r="20" customFormat="false" ht="15" hidden="false" customHeight="false" outlineLevel="0" collapsed="false">
      <c r="A20" s="19"/>
      <c r="B20" s="19"/>
      <c r="C20" s="19"/>
      <c r="D20" s="19"/>
      <c r="E20" s="19"/>
    </row>
    <row r="21" customFormat="false" ht="15" hidden="false" customHeight="false" outlineLevel="0" collapsed="false">
      <c r="A21" s="19"/>
      <c r="B21" s="19"/>
      <c r="C21" s="19"/>
      <c r="D21" s="19"/>
      <c r="E21" s="19"/>
    </row>
    <row r="22" customFormat="false" ht="15" hidden="false" customHeight="false" outlineLevel="0" collapsed="false">
      <c r="A22" s="19"/>
      <c r="B22" s="19"/>
      <c r="C22" s="19"/>
      <c r="D22" s="19"/>
      <c r="E22" s="19"/>
    </row>
    <row r="23" customFormat="false" ht="15" hidden="false" customHeight="false" outlineLevel="0" collapsed="false">
      <c r="A23" s="19"/>
      <c r="B23" s="19"/>
      <c r="C23" s="19"/>
      <c r="D23" s="19"/>
      <c r="E23" s="19"/>
    </row>
    <row r="24" customFormat="false" ht="15" hidden="false" customHeight="false" outlineLevel="0" collapsed="false">
      <c r="A24" s="19"/>
      <c r="B24" s="19"/>
      <c r="C24" s="19"/>
      <c r="D24" s="19"/>
      <c r="E24" s="19"/>
    </row>
    <row r="25" customFormat="false" ht="15" hidden="false" customHeight="false" outlineLevel="0" collapsed="false">
      <c r="A25" s="19"/>
      <c r="B25" s="19"/>
      <c r="C25" s="19"/>
      <c r="D25" s="19"/>
      <c r="E25" s="19"/>
    </row>
    <row r="26" customFormat="false" ht="15" hidden="false" customHeight="false" outlineLevel="0" collapsed="false">
      <c r="A26" s="19"/>
      <c r="B26" s="19"/>
      <c r="C26" s="19"/>
      <c r="D26" s="19"/>
      <c r="E26" s="19"/>
    </row>
    <row r="27" customFormat="false" ht="15" hidden="false" customHeight="false" outlineLevel="0" collapsed="false">
      <c r="A27" s="19"/>
      <c r="B27" s="19"/>
      <c r="C27" s="19"/>
      <c r="D27" s="19"/>
      <c r="E27" s="19"/>
    </row>
    <row r="28" customFormat="false" ht="15" hidden="false" customHeight="false" outlineLevel="0" collapsed="false">
      <c r="A28" s="19"/>
      <c r="B28" s="19"/>
      <c r="C28" s="19"/>
      <c r="D28" s="19"/>
      <c r="E28" s="19"/>
    </row>
    <row r="29" customFormat="false" ht="15" hidden="false" customHeight="false" outlineLevel="0" collapsed="false">
      <c r="A29" s="19"/>
      <c r="B29" s="19"/>
      <c r="C29" s="19"/>
      <c r="D29" s="19"/>
      <c r="E29" s="19"/>
    </row>
    <row r="30" customFormat="false" ht="15" hidden="false" customHeight="false" outlineLevel="0" collapsed="false">
      <c r="A30" s="19"/>
      <c r="B30" s="19"/>
      <c r="C30" s="19"/>
      <c r="D30" s="19"/>
      <c r="E30" s="19"/>
    </row>
    <row r="31" customFormat="false" ht="15" hidden="false" customHeight="false" outlineLevel="0" collapsed="false">
      <c r="A31" s="19"/>
      <c r="B31" s="19"/>
      <c r="C31" s="19"/>
      <c r="D31" s="19"/>
      <c r="E31" s="19"/>
    </row>
    <row r="32" customFormat="false" ht="15" hidden="false" customHeight="false" outlineLevel="0" collapsed="false">
      <c r="A32" s="19"/>
      <c r="B32" s="19"/>
      <c r="C32" s="19"/>
      <c r="D32" s="19"/>
      <c r="E32" s="19"/>
    </row>
    <row r="33" customFormat="false" ht="15" hidden="false" customHeight="false" outlineLevel="0" collapsed="false">
      <c r="A33" s="19"/>
      <c r="B33" s="19"/>
      <c r="C33" s="19"/>
      <c r="D33" s="19"/>
      <c r="E33" s="19"/>
    </row>
    <row r="34" customFormat="false" ht="15" hidden="false" customHeight="false" outlineLevel="0" collapsed="false">
      <c r="A34" s="19"/>
      <c r="B34" s="19"/>
      <c r="C34" s="19"/>
      <c r="D34" s="19"/>
      <c r="E34" s="19"/>
    </row>
    <row r="35" customFormat="false" ht="15" hidden="false" customHeight="false" outlineLevel="0" collapsed="false">
      <c r="A35" s="19"/>
      <c r="B35" s="19"/>
      <c r="C35" s="19"/>
      <c r="D35" s="19"/>
      <c r="E35" s="19"/>
    </row>
    <row r="36" customFormat="false" ht="15" hidden="false" customHeight="false" outlineLevel="0" collapsed="false">
      <c r="A36" s="19"/>
      <c r="B36" s="19"/>
      <c r="C36" s="19"/>
      <c r="D36" s="19"/>
      <c r="E36" s="19"/>
    </row>
    <row r="37" customFormat="false" ht="15" hidden="false" customHeight="false" outlineLevel="0" collapsed="false">
      <c r="A37" s="19"/>
      <c r="B37" s="19"/>
      <c r="C37" s="19"/>
      <c r="D37" s="19"/>
      <c r="E37" s="19"/>
    </row>
    <row r="38" customFormat="false" ht="15" hidden="false" customHeight="false" outlineLevel="0" collapsed="false">
      <c r="A38" s="19"/>
      <c r="B38" s="19"/>
      <c r="C38" s="19"/>
      <c r="D38" s="19"/>
      <c r="E38" s="19"/>
    </row>
    <row r="39" customFormat="false" ht="15" hidden="false" customHeight="false" outlineLevel="0" collapsed="false">
      <c r="A39" s="19"/>
      <c r="B39" s="19"/>
      <c r="C39" s="19"/>
      <c r="D39" s="19"/>
      <c r="E39" s="19"/>
    </row>
    <row r="40" customFormat="false" ht="15" hidden="false" customHeight="false" outlineLevel="0" collapsed="false">
      <c r="A40" s="19"/>
      <c r="B40" s="19"/>
      <c r="C40" s="19"/>
      <c r="D40" s="19"/>
      <c r="E40" s="19"/>
    </row>
    <row r="41" customFormat="false" ht="15" hidden="false" customHeight="false" outlineLevel="0" collapsed="false">
      <c r="A41" s="19"/>
      <c r="B41" s="19"/>
      <c r="C41" s="19"/>
      <c r="D41" s="19"/>
      <c r="E41" s="19"/>
    </row>
    <row r="42" customFormat="false" ht="15" hidden="false" customHeight="false" outlineLevel="0" collapsed="false">
      <c r="A42" s="19"/>
      <c r="B42" s="19"/>
      <c r="C42" s="19"/>
      <c r="D42" s="19"/>
      <c r="E42" s="19"/>
    </row>
    <row r="43" customFormat="false" ht="15" hidden="false" customHeight="false" outlineLevel="0" collapsed="false">
      <c r="A43" s="19"/>
      <c r="B43" s="19"/>
      <c r="C43" s="19"/>
      <c r="D43" s="19"/>
      <c r="E43" s="19"/>
    </row>
    <row r="44" customFormat="false" ht="15" hidden="false" customHeight="false" outlineLevel="0" collapsed="false">
      <c r="A44" s="19"/>
      <c r="B44" s="19"/>
      <c r="C44" s="19"/>
      <c r="D44" s="19"/>
      <c r="E44" s="19"/>
    </row>
    <row r="45" customFormat="false" ht="15" hidden="false" customHeight="false" outlineLevel="0" collapsed="false">
      <c r="A45" s="19"/>
      <c r="B45" s="19"/>
      <c r="C45" s="19"/>
      <c r="D45" s="19"/>
      <c r="E45" s="19"/>
    </row>
    <row r="46" customFormat="false" ht="15" hidden="false" customHeight="false" outlineLevel="0" collapsed="false">
      <c r="A46" s="19"/>
      <c r="B46" s="19"/>
      <c r="C46" s="19"/>
      <c r="D46" s="19"/>
      <c r="E46" s="19"/>
    </row>
    <row r="47" customFormat="false" ht="15" hidden="false" customHeight="false" outlineLevel="0" collapsed="false">
      <c r="A47" s="19"/>
      <c r="B47" s="19"/>
      <c r="C47" s="19"/>
      <c r="D47" s="19"/>
      <c r="E47" s="19"/>
    </row>
    <row r="48" customFormat="false" ht="15" hidden="false" customHeight="false" outlineLevel="0" collapsed="false">
      <c r="A48" s="19"/>
      <c r="B48" s="19"/>
      <c r="C48" s="19"/>
      <c r="D48" s="19"/>
      <c r="E48" s="19"/>
    </row>
    <row r="49" customFormat="false" ht="15" hidden="false" customHeight="false" outlineLevel="0" collapsed="false">
      <c r="A49" s="19"/>
      <c r="B49" s="19"/>
      <c r="C49" s="19"/>
      <c r="D49" s="19"/>
      <c r="E49" s="19"/>
    </row>
    <row r="50" customFormat="false" ht="15" hidden="false" customHeight="false" outlineLevel="0" collapsed="false">
      <c r="A50" s="19"/>
      <c r="B50" s="19"/>
      <c r="C50" s="19"/>
      <c r="D50" s="19"/>
      <c r="E50" s="19"/>
    </row>
    <row r="51" customFormat="false" ht="15" hidden="false" customHeight="false" outlineLevel="0" collapsed="false">
      <c r="A51" s="19"/>
      <c r="B51" s="19"/>
      <c r="C51" s="19"/>
      <c r="D51" s="19"/>
      <c r="E51" s="19"/>
    </row>
    <row r="52" customFormat="false" ht="15" hidden="false" customHeight="false" outlineLevel="0" collapsed="false">
      <c r="A52" s="19"/>
      <c r="B52" s="19"/>
      <c r="C52" s="19"/>
      <c r="D52" s="19"/>
      <c r="E52" s="19"/>
    </row>
    <row r="53" customFormat="false" ht="15" hidden="false" customHeight="false" outlineLevel="0" collapsed="false">
      <c r="A53" s="19"/>
      <c r="B53" s="19"/>
      <c r="C53" s="19"/>
      <c r="D53" s="19"/>
      <c r="E53" s="19"/>
    </row>
    <row r="54" customFormat="false" ht="15" hidden="false" customHeight="false" outlineLevel="0" collapsed="false">
      <c r="A54" s="19"/>
      <c r="B54" s="19"/>
      <c r="C54" s="19"/>
      <c r="D54" s="19"/>
      <c r="E54" s="19"/>
    </row>
    <row r="55" customFormat="false" ht="15" hidden="false" customHeight="false" outlineLevel="0" collapsed="false">
      <c r="A55" s="19"/>
      <c r="B55" s="19"/>
      <c r="C55" s="19"/>
      <c r="D55" s="19"/>
      <c r="E55" s="19"/>
    </row>
    <row r="56" customFormat="false" ht="15" hidden="false" customHeight="false" outlineLevel="0" collapsed="false">
      <c r="A56" s="19"/>
      <c r="B56" s="19"/>
      <c r="C56" s="19"/>
      <c r="D56" s="19"/>
      <c r="E56" s="19"/>
    </row>
    <row r="57" customFormat="false" ht="15" hidden="false" customHeight="false" outlineLevel="0" collapsed="false">
      <c r="A57" s="19"/>
      <c r="B57" s="19"/>
      <c r="C57" s="19"/>
      <c r="D57" s="19"/>
      <c r="E57" s="19"/>
    </row>
    <row r="58" customFormat="false" ht="15" hidden="false" customHeight="false" outlineLevel="0" collapsed="false">
      <c r="A58" s="19"/>
      <c r="B58" s="19"/>
      <c r="C58" s="19"/>
      <c r="D58" s="19"/>
      <c r="E58" s="19"/>
    </row>
    <row r="59" customFormat="false" ht="15" hidden="false" customHeight="false" outlineLevel="0" collapsed="false">
      <c r="A59" s="19"/>
      <c r="B59" s="19"/>
      <c r="C59" s="19"/>
      <c r="D59" s="19"/>
      <c r="E59" s="19"/>
    </row>
    <row r="60" customFormat="false" ht="15" hidden="false" customHeight="false" outlineLevel="0" collapsed="false">
      <c r="A60" s="19"/>
      <c r="B60" s="19"/>
      <c r="C60" s="19"/>
      <c r="D60" s="19"/>
      <c r="E60" s="19"/>
    </row>
    <row r="61" customFormat="false" ht="15" hidden="false" customHeight="false" outlineLevel="0" collapsed="false">
      <c r="A61" s="19"/>
      <c r="B61" s="19"/>
      <c r="C61" s="19"/>
      <c r="D61" s="19"/>
      <c r="E61" s="19"/>
    </row>
    <row r="62" customFormat="false" ht="15" hidden="false" customHeight="false" outlineLevel="0" collapsed="false">
      <c r="A62" s="19"/>
      <c r="B62" s="19"/>
      <c r="C62" s="19"/>
      <c r="D62" s="19"/>
      <c r="E62" s="19"/>
    </row>
    <row r="63" customFormat="false" ht="15" hidden="false" customHeight="false" outlineLevel="0" collapsed="false">
      <c r="A63" s="19"/>
      <c r="B63" s="19"/>
      <c r="C63" s="19"/>
      <c r="D63" s="19"/>
      <c r="E63" s="19"/>
    </row>
    <row r="64" customFormat="false" ht="15" hidden="false" customHeight="false" outlineLevel="0" collapsed="false">
      <c r="A64" s="19"/>
      <c r="B64" s="19"/>
      <c r="C64" s="19"/>
      <c r="D64" s="19"/>
      <c r="E64" s="19"/>
    </row>
    <row r="65" customFormat="false" ht="15" hidden="false" customHeight="false" outlineLevel="0" collapsed="false">
      <c r="A65" s="19"/>
      <c r="B65" s="19"/>
      <c r="C65" s="19"/>
      <c r="D65" s="19"/>
      <c r="E65" s="19"/>
    </row>
    <row r="66" customFormat="false" ht="15" hidden="false" customHeight="false" outlineLevel="0" collapsed="false">
      <c r="A66" s="19"/>
      <c r="B66" s="19"/>
      <c r="C66" s="19"/>
      <c r="D66" s="19"/>
      <c r="E66" s="19"/>
    </row>
    <row r="67" customFormat="false" ht="15" hidden="false" customHeight="false" outlineLevel="0" collapsed="false">
      <c r="A67" s="19"/>
      <c r="B67" s="19"/>
      <c r="C67" s="19"/>
      <c r="D67" s="19"/>
      <c r="E67" s="19"/>
    </row>
    <row r="68" customFormat="false" ht="15" hidden="false" customHeight="false" outlineLevel="0" collapsed="false">
      <c r="A68" s="19"/>
      <c r="B68" s="19"/>
      <c r="C68" s="19"/>
      <c r="D68" s="19"/>
      <c r="E68" s="19"/>
    </row>
    <row r="69" customFormat="false" ht="15" hidden="false" customHeight="false" outlineLevel="0" collapsed="false">
      <c r="A69" s="19"/>
      <c r="B69" s="19"/>
      <c r="C69" s="19"/>
      <c r="D69" s="19"/>
      <c r="E69" s="19"/>
    </row>
    <row r="70" customFormat="false" ht="15" hidden="false" customHeight="false" outlineLevel="0" collapsed="false">
      <c r="A70" s="19"/>
      <c r="B70" s="19"/>
      <c r="C70" s="19"/>
      <c r="D70" s="19"/>
      <c r="E70" s="19"/>
    </row>
    <row r="71" customFormat="false" ht="15" hidden="false" customHeight="false" outlineLevel="0" collapsed="false">
      <c r="A71" s="19"/>
      <c r="B71" s="19"/>
      <c r="C71" s="19"/>
      <c r="D71" s="19"/>
      <c r="E71" s="19"/>
    </row>
    <row r="72" customFormat="false" ht="15" hidden="false" customHeight="false" outlineLevel="0" collapsed="false">
      <c r="A72" s="19"/>
      <c r="B72" s="19"/>
      <c r="C72" s="19"/>
      <c r="D72" s="19"/>
      <c r="E72" s="19"/>
    </row>
    <row r="73" customFormat="false" ht="15" hidden="false" customHeight="false" outlineLevel="0" collapsed="false">
      <c r="A73" s="19"/>
      <c r="B73" s="19"/>
      <c r="C73" s="19"/>
      <c r="D73" s="19"/>
      <c r="E73" s="19"/>
    </row>
    <row r="74" customFormat="false" ht="15" hidden="false" customHeight="false" outlineLevel="0" collapsed="false">
      <c r="A74" s="19"/>
      <c r="B74" s="19"/>
      <c r="C74" s="19"/>
      <c r="D74" s="19"/>
      <c r="E74" s="19"/>
    </row>
    <row r="75" customFormat="false" ht="15" hidden="false" customHeight="false" outlineLevel="0" collapsed="false">
      <c r="A75" s="19"/>
      <c r="B75" s="19"/>
      <c r="C75" s="19"/>
      <c r="D75" s="19"/>
      <c r="E75" s="19"/>
    </row>
    <row r="76" customFormat="false" ht="15" hidden="false" customHeight="false" outlineLevel="0" collapsed="false">
      <c r="A76" s="19"/>
      <c r="B76" s="19"/>
      <c r="C76" s="19"/>
      <c r="D76" s="19"/>
      <c r="E76" s="19"/>
    </row>
    <row r="77" customFormat="false" ht="15" hidden="false" customHeight="false" outlineLevel="0" collapsed="false">
      <c r="A77" s="19"/>
      <c r="B77" s="19"/>
      <c r="C77" s="19"/>
      <c r="D77" s="19"/>
      <c r="E77" s="19"/>
    </row>
    <row r="78" customFormat="false" ht="15" hidden="false" customHeight="false" outlineLevel="0" collapsed="false">
      <c r="A78" s="19"/>
      <c r="B78" s="19"/>
      <c r="C78" s="19"/>
      <c r="D78" s="19"/>
      <c r="E78" s="19"/>
    </row>
    <row r="79" customFormat="false" ht="15" hidden="false" customHeight="false" outlineLevel="0" collapsed="false">
      <c r="A79" s="19"/>
      <c r="B79" s="19"/>
      <c r="C79" s="19"/>
      <c r="D79" s="19"/>
      <c r="E79" s="19"/>
    </row>
    <row r="80" customFormat="false" ht="15" hidden="false" customHeight="false" outlineLevel="0" collapsed="false">
      <c r="A80" s="19"/>
      <c r="B80" s="19"/>
      <c r="C80" s="19"/>
      <c r="D80" s="19"/>
      <c r="E80" s="19"/>
    </row>
    <row r="81" customFormat="false" ht="15" hidden="false" customHeight="false" outlineLevel="0" collapsed="false">
      <c r="A81" s="19"/>
      <c r="B81" s="19"/>
      <c r="C81" s="19"/>
      <c r="D81" s="19"/>
      <c r="E81" s="19"/>
    </row>
    <row r="82" customFormat="false" ht="15" hidden="false" customHeight="false" outlineLevel="0" collapsed="false">
      <c r="A82" s="19"/>
      <c r="B82" s="19"/>
      <c r="C82" s="19"/>
      <c r="D82" s="19"/>
      <c r="E82" s="19"/>
    </row>
    <row r="83" customFormat="false" ht="15" hidden="false" customHeight="false" outlineLevel="0" collapsed="false">
      <c r="A83" s="19"/>
      <c r="B83" s="19"/>
      <c r="C83" s="19"/>
      <c r="D83" s="19"/>
      <c r="E83" s="19"/>
    </row>
    <row r="84" customFormat="false" ht="15" hidden="false" customHeight="false" outlineLevel="0" collapsed="false">
      <c r="A84" s="19"/>
      <c r="B84" s="19"/>
      <c r="C84" s="19"/>
      <c r="D84" s="19"/>
      <c r="E84" s="19"/>
    </row>
    <row r="85" customFormat="false" ht="15" hidden="false" customHeight="false" outlineLevel="0" collapsed="false">
      <c r="A85" s="19"/>
      <c r="B85" s="19"/>
      <c r="C85" s="19"/>
      <c r="D85" s="19"/>
      <c r="E85" s="19"/>
    </row>
    <row r="86" customFormat="false" ht="15" hidden="false" customHeight="false" outlineLevel="0" collapsed="false">
      <c r="A86" s="19"/>
      <c r="B86" s="19"/>
      <c r="C86" s="19"/>
      <c r="D86" s="19"/>
      <c r="E86" s="19"/>
    </row>
    <row r="87" customFormat="false" ht="15" hidden="false" customHeight="false" outlineLevel="0" collapsed="false">
      <c r="A87" s="19"/>
      <c r="B87" s="19"/>
      <c r="C87" s="19"/>
      <c r="D87" s="19"/>
      <c r="E87" s="19"/>
    </row>
    <row r="88" customFormat="false" ht="15" hidden="false" customHeight="false" outlineLevel="0" collapsed="false">
      <c r="A88" s="19"/>
      <c r="B88" s="19"/>
      <c r="C88" s="19"/>
      <c r="D88" s="19"/>
      <c r="E88" s="19"/>
    </row>
    <row r="89" customFormat="false" ht="15" hidden="false" customHeight="false" outlineLevel="0" collapsed="false">
      <c r="A89" s="19"/>
      <c r="B89" s="19"/>
      <c r="C89" s="19"/>
      <c r="D89" s="19"/>
      <c r="E89" s="19"/>
    </row>
    <row r="90" customFormat="false" ht="15" hidden="false" customHeight="false" outlineLevel="0" collapsed="false">
      <c r="A90" s="19"/>
      <c r="B90" s="19"/>
      <c r="C90" s="19"/>
      <c r="D90" s="19"/>
      <c r="E90" s="19"/>
    </row>
    <row r="91" customFormat="false" ht="15" hidden="false" customHeight="false" outlineLevel="0" collapsed="false">
      <c r="A91" s="19"/>
      <c r="B91" s="19"/>
      <c r="C91" s="19"/>
      <c r="D91" s="19"/>
      <c r="E91" s="19"/>
    </row>
    <row r="92" customFormat="false" ht="15" hidden="false" customHeight="false" outlineLevel="0" collapsed="false">
      <c r="A92" s="19"/>
      <c r="B92" s="19"/>
      <c r="C92" s="19"/>
      <c r="D92" s="19"/>
      <c r="E92" s="19"/>
    </row>
    <row r="93" customFormat="false" ht="15" hidden="false" customHeight="false" outlineLevel="0" collapsed="false">
      <c r="A93" s="19"/>
      <c r="B93" s="19"/>
      <c r="C93" s="19"/>
      <c r="D93" s="19"/>
      <c r="E93" s="19"/>
    </row>
    <row r="94" customFormat="false" ht="15" hidden="false" customHeight="false" outlineLevel="0" collapsed="false">
      <c r="A94" s="19"/>
      <c r="B94" s="19"/>
      <c r="C94" s="19"/>
      <c r="D94" s="19"/>
      <c r="E94" s="19"/>
    </row>
    <row r="95" customFormat="false" ht="15" hidden="false" customHeight="false" outlineLevel="0" collapsed="false">
      <c r="A95" s="19"/>
      <c r="B95" s="19"/>
      <c r="C95" s="19"/>
      <c r="D95" s="19"/>
      <c r="E95" s="19"/>
    </row>
    <row r="96" customFormat="false" ht="15" hidden="false" customHeight="false" outlineLevel="0" collapsed="false">
      <c r="A96" s="19"/>
      <c r="B96" s="19"/>
      <c r="C96" s="19"/>
      <c r="D96" s="19"/>
      <c r="E96" s="19"/>
    </row>
    <row r="97" customFormat="false" ht="15" hidden="false" customHeight="false" outlineLevel="0" collapsed="false">
      <c r="A97" s="19"/>
      <c r="B97" s="19"/>
      <c r="C97" s="19"/>
      <c r="D97" s="19"/>
      <c r="E97" s="19"/>
    </row>
    <row r="98" customFormat="false" ht="15" hidden="false" customHeight="false" outlineLevel="0" collapsed="false">
      <c r="A98" s="19"/>
      <c r="B98" s="19"/>
      <c r="C98" s="19"/>
      <c r="D98" s="19"/>
      <c r="E98" s="19"/>
    </row>
    <row r="99" customFormat="false" ht="15" hidden="false" customHeight="false" outlineLevel="0" collapsed="false">
      <c r="A99" s="19"/>
      <c r="B99" s="19"/>
      <c r="C99" s="19"/>
      <c r="D99" s="19"/>
      <c r="E99" s="19"/>
    </row>
    <row r="100" customFormat="false" ht="15" hidden="false" customHeight="false" outlineLevel="0" collapsed="false">
      <c r="A100" s="19"/>
      <c r="B100" s="19"/>
      <c r="C100" s="19"/>
      <c r="D100" s="19"/>
      <c r="E100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2026-10-07T16:20:14Z</dcterms:created>
  <dc:creator>openpyxl</dc:creator>
  <dc:description/>
  <dc:language>en-US</dc:language>
  <cp:lastModifiedBy/>
  <dcterms:modified xsi:type="dcterms:W3CDTF">2026-10-07T16:20:14Z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